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mc:AlternateContent xmlns:mc="http://schemas.openxmlformats.org/markup-compatibility/2006">
    <mc:Choice Requires="x15">
      <x15ac:absPath xmlns:x15ac="http://schemas.microsoft.com/office/spreadsheetml/2010/11/ac" url="C:\Users\FATIMAH\OneDrive\Documents\Data Analysis\Excel\"/>
    </mc:Choice>
  </mc:AlternateContent>
  <xr:revisionPtr revIDLastSave="0" documentId="13_ncr:1_{610622A5-71CA-4720-8E79-175BF9E179D0}" xr6:coauthVersionLast="47" xr6:coauthVersionMax="47" xr10:uidLastSave="{00000000-0000-0000-0000-000000000000}"/>
  <bookViews>
    <workbookView xWindow="-120" yWindow="-120" windowWidth="29040" windowHeight="15720" activeTab="3" xr2:uid="{00000000-000D-0000-FFFF-FFFF00000000}"/>
  </bookViews>
  <sheets>
    <sheet name="Meta - Data" sheetId="2" r:id="rId1"/>
    <sheet name="Tiktok - Data" sheetId="1" r:id="rId2"/>
    <sheet name="Snapchat - Data" sheetId="3" r:id="rId3"/>
    <sheet name="Summary Sheet" sheetId="7" r:id="rId4"/>
    <sheet name="Answers" sheetId="5" r:id="rId5"/>
    <sheet name="Extras" sheetId="8" r:id="rId6"/>
  </sheets>
  <definedNames>
    <definedName name="_xlnm._FilterDatabase" localSheetId="0" hidden="1">'Meta - Data'!$A$1:$U$1</definedName>
    <definedName name="_xlnm._FilterDatabase" localSheetId="2" hidden="1">'Snapchat - Data'!$A$1:$V$54</definedName>
    <definedName name="_xlnm._FilterDatabase" localSheetId="1" hidden="1">'Tiktok - Data'!$A$1:$U$1</definedName>
  </definedNames>
  <calcPr calcId="191029"/>
  <pivotCaches>
    <pivotCache cacheId="0" r:id="rId7"/>
    <pivotCache cacheId="1" r:id="rId8"/>
    <pivotCache cacheId="2" r:id="rId9"/>
    <pivotCache cacheId="3" r:id="rId10"/>
    <pivotCache cacheId="4" r:id="rId1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7" l="1"/>
  <c r="H4" i="7"/>
  <c r="H5" i="7"/>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7" i="3"/>
  <c r="O48" i="3"/>
  <c r="O49" i="3"/>
  <c r="O50" i="3"/>
  <c r="O51" i="3"/>
  <c r="O52" i="3"/>
  <c r="O53" i="3"/>
  <c r="O54" i="3"/>
  <c r="O2" i="3"/>
  <c r="Q16" i="5"/>
  <c r="F3" i="7"/>
  <c r="D3" i="7"/>
  <c r="G5" i="7"/>
  <c r="G4" i="7"/>
  <c r="F5" i="7"/>
  <c r="F4" i="7"/>
  <c r="E5" i="7"/>
  <c r="E4" i="7"/>
  <c r="D5" i="7"/>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2" i="3"/>
  <c r="T3" i="3"/>
  <c r="T4" i="3"/>
  <c r="T5" i="3"/>
  <c r="T6" i="3"/>
  <c r="T7" i="3"/>
  <c r="T8" i="3"/>
  <c r="T9" i="3"/>
  <c r="T10" i="3"/>
  <c r="T11" i="3"/>
  <c r="T12" i="3"/>
  <c r="T13" i="3"/>
  <c r="T14" i="3"/>
  <c r="T15" i="3"/>
  <c r="T16" i="3"/>
  <c r="T17" i="3"/>
  <c r="T18" i="3"/>
  <c r="T19" i="3"/>
  <c r="T20" i="3"/>
  <c r="T21" i="3"/>
  <c r="T22" i="3"/>
  <c r="T23" i="3"/>
  <c r="T24" i="3"/>
  <c r="T25" i="3"/>
  <c r="T26" i="3"/>
  <c r="T27" i="3"/>
  <c r="T28" i="3"/>
  <c r="T29" i="3"/>
  <c r="T30" i="3"/>
  <c r="T31" i="3"/>
  <c r="T32" i="3"/>
  <c r="T33" i="3"/>
  <c r="T34" i="3"/>
  <c r="T35" i="3"/>
  <c r="T36" i="3"/>
  <c r="T37" i="3"/>
  <c r="T38" i="3"/>
  <c r="T39" i="3"/>
  <c r="T40" i="3"/>
  <c r="T41" i="3"/>
  <c r="T42" i="3"/>
  <c r="T43" i="3"/>
  <c r="T44" i="3"/>
  <c r="T45" i="3"/>
  <c r="T46" i="3"/>
  <c r="T47" i="3"/>
  <c r="T48" i="3"/>
  <c r="T49" i="3"/>
  <c r="T50" i="3"/>
  <c r="T51" i="3"/>
  <c r="T52" i="3"/>
  <c r="T53" i="3"/>
  <c r="T54" i="3"/>
  <c r="T2" i="3"/>
  <c r="P3" i="2"/>
  <c r="P4" i="2"/>
  <c r="P5" i="2"/>
  <c r="P6" i="2"/>
  <c r="P7" i="2"/>
  <c r="E3" i="7" s="1"/>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2" i="2"/>
  <c r="P93" i="2"/>
  <c r="P95" i="2"/>
  <c r="P99"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2" i="2"/>
  <c r="D4" i="7"/>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2" i="1"/>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2" i="3"/>
  <c r="Q17" i="5"/>
  <c r="U428" i="2"/>
  <c r="Q73" i="1"/>
  <c r="P73" i="1"/>
  <c r="Q72" i="1"/>
  <c r="P72" i="1"/>
  <c r="Q71" i="1"/>
  <c r="P71" i="1"/>
  <c r="Q70" i="1"/>
  <c r="P70" i="1"/>
  <c r="Q69" i="1"/>
  <c r="P69" i="1"/>
  <c r="Q68" i="1"/>
  <c r="P68" i="1"/>
  <c r="Q67" i="1"/>
  <c r="P67" i="1"/>
  <c r="Q66" i="1"/>
  <c r="P66" i="1"/>
  <c r="Q65" i="1"/>
  <c r="P65" i="1"/>
  <c r="Q64" i="1"/>
  <c r="P64" i="1"/>
  <c r="Q63" i="1"/>
  <c r="P63" i="1"/>
  <c r="Q62" i="1"/>
  <c r="P62" i="1"/>
  <c r="Q61" i="1"/>
  <c r="P61" i="1"/>
  <c r="Q60" i="1"/>
  <c r="P60" i="1"/>
  <c r="Q59" i="1"/>
  <c r="P59" i="1"/>
  <c r="Q58" i="1"/>
  <c r="P58" i="1"/>
  <c r="Q57" i="1"/>
  <c r="P57" i="1"/>
  <c r="Q56" i="1"/>
  <c r="P56" i="1"/>
  <c r="Q55" i="1"/>
  <c r="P55" i="1"/>
  <c r="Q54" i="1"/>
  <c r="P54" i="1"/>
  <c r="Q53" i="1"/>
  <c r="P53" i="1"/>
  <c r="Q52" i="1"/>
  <c r="P52" i="1"/>
  <c r="Q51" i="1"/>
  <c r="P51" i="1"/>
  <c r="Q50" i="1"/>
  <c r="P50" i="1"/>
  <c r="Q49" i="1"/>
  <c r="P49" i="1"/>
  <c r="Q48" i="1"/>
  <c r="P48" i="1"/>
  <c r="Q47" i="1"/>
  <c r="P47" i="1"/>
  <c r="Q46" i="1"/>
  <c r="P46" i="1"/>
  <c r="Q45" i="1"/>
  <c r="P45" i="1"/>
  <c r="Q44" i="1"/>
  <c r="P44" i="1"/>
  <c r="Q43" i="1"/>
  <c r="P43" i="1"/>
  <c r="Q42" i="1"/>
  <c r="P42" i="1"/>
  <c r="Q41" i="1"/>
  <c r="P41" i="1"/>
  <c r="Q40" i="1"/>
  <c r="P40" i="1"/>
  <c r="Q39" i="1"/>
  <c r="P39" i="1"/>
  <c r="Q38" i="1"/>
  <c r="P38" i="1"/>
  <c r="Q37" i="1"/>
  <c r="P37" i="1"/>
  <c r="Q36" i="1"/>
  <c r="P36" i="1"/>
  <c r="Q35" i="1"/>
  <c r="P35" i="1"/>
  <c r="Q34" i="1"/>
  <c r="P34" i="1"/>
  <c r="Q33" i="1"/>
  <c r="P33" i="1"/>
  <c r="Q32" i="1"/>
  <c r="P32" i="1"/>
  <c r="Q31" i="1"/>
  <c r="P31" i="1"/>
  <c r="Q30" i="1"/>
  <c r="P30" i="1"/>
  <c r="Q29" i="1"/>
  <c r="P29" i="1"/>
  <c r="Q28" i="1"/>
  <c r="P28" i="1"/>
  <c r="Q27" i="1"/>
  <c r="P27" i="1"/>
  <c r="Q26" i="1"/>
  <c r="P26" i="1"/>
  <c r="Q25" i="1"/>
  <c r="P25" i="1"/>
  <c r="Q24" i="1"/>
  <c r="P24" i="1"/>
  <c r="Q23" i="1"/>
  <c r="P23" i="1"/>
  <c r="Q22" i="1"/>
  <c r="P22" i="1"/>
  <c r="Q21" i="1"/>
  <c r="P21" i="1"/>
  <c r="Q20" i="1"/>
  <c r="P20" i="1"/>
  <c r="Q19" i="1"/>
  <c r="P19" i="1"/>
  <c r="Q18" i="1"/>
  <c r="P18" i="1"/>
  <c r="Q17" i="1"/>
  <c r="P17" i="1"/>
  <c r="Q16" i="1"/>
  <c r="P16" i="1"/>
  <c r="Q15" i="1"/>
  <c r="P15" i="1"/>
  <c r="Q14" i="1"/>
  <c r="P14" i="1"/>
  <c r="Q13" i="1"/>
  <c r="P13" i="1"/>
  <c r="Q12" i="1"/>
  <c r="P12" i="1"/>
  <c r="Q11" i="1"/>
  <c r="P11" i="1"/>
  <c r="Q10" i="1"/>
  <c r="P10" i="1"/>
  <c r="Q9" i="1"/>
  <c r="P9" i="1"/>
  <c r="Q8" i="1"/>
  <c r="P8" i="1"/>
  <c r="Q7" i="1"/>
  <c r="P7" i="1"/>
  <c r="Q6" i="1"/>
  <c r="P6" i="1"/>
  <c r="Q5" i="1"/>
  <c r="P5" i="1"/>
  <c r="Q4" i="1"/>
  <c r="P4" i="1"/>
  <c r="Q3" i="1"/>
  <c r="P3" i="1"/>
  <c r="Q2" i="1"/>
  <c r="P2" i="1"/>
  <c r="G3" i="7" l="1"/>
</calcChain>
</file>

<file path=xl/sharedStrings.xml><?xml version="1.0" encoding="utf-8"?>
<sst xmlns="http://schemas.openxmlformats.org/spreadsheetml/2006/main" count="4528" uniqueCount="118">
  <si>
    <t>Market</t>
  </si>
  <si>
    <t>Campaign Name</t>
  </si>
  <si>
    <t>Audience</t>
  </si>
  <si>
    <t xml:space="preserve">Language </t>
  </si>
  <si>
    <t>Format</t>
  </si>
  <si>
    <t>Creative Variation</t>
  </si>
  <si>
    <t>Clicks</t>
  </si>
  <si>
    <t>CTR</t>
  </si>
  <si>
    <t>CPM</t>
  </si>
  <si>
    <t>2 Second Video Views</t>
  </si>
  <si>
    <t>Video Completions</t>
  </si>
  <si>
    <t>VTR (2 Sec)</t>
  </si>
  <si>
    <t>VTR (Complete)</t>
  </si>
  <si>
    <t>Engagement Rate</t>
  </si>
  <si>
    <t>RIY</t>
  </si>
  <si>
    <t>Interests</t>
  </si>
  <si>
    <t>AR</t>
  </si>
  <si>
    <t>Video</t>
  </si>
  <si>
    <t>9x16</t>
  </si>
  <si>
    <t>QAT</t>
  </si>
  <si>
    <t>EN</t>
  </si>
  <si>
    <t>OMA</t>
  </si>
  <si>
    <t>KWT</t>
  </si>
  <si>
    <t>JED</t>
  </si>
  <si>
    <t>BAH</t>
  </si>
  <si>
    <t>AE</t>
  </si>
  <si>
    <t>Campaign name</t>
  </si>
  <si>
    <t>Language</t>
  </si>
  <si>
    <t>Creative variations</t>
  </si>
  <si>
    <t>Reach</t>
  </si>
  <si>
    <t>Impressions</t>
  </si>
  <si>
    <t>Amount spent (USD)</t>
  </si>
  <si>
    <t>VTR</t>
  </si>
  <si>
    <t>16x9</t>
  </si>
  <si>
    <t>1x1</t>
  </si>
  <si>
    <t>KW</t>
  </si>
  <si>
    <t>QA</t>
  </si>
  <si>
    <t>BH</t>
  </si>
  <si>
    <t>CDP</t>
  </si>
  <si>
    <t>OM</t>
  </si>
  <si>
    <t>Static</t>
  </si>
  <si>
    <t>Carousel</t>
  </si>
  <si>
    <t>Campaign Strategy</t>
  </si>
  <si>
    <t>QT</t>
  </si>
  <si>
    <t>Awareness</t>
  </si>
  <si>
    <t>Consideration</t>
  </si>
  <si>
    <t>UAE</t>
  </si>
  <si>
    <t>FBIG_MK~RIY_TG</t>
  </si>
  <si>
    <t>Tiktok_MK~RIY_TG</t>
  </si>
  <si>
    <t>Tiktok_MK~QAT_TG</t>
  </si>
  <si>
    <t>Tiktok_MK~OMA_TG</t>
  </si>
  <si>
    <t>Tiktok_MK~KWT_TG</t>
  </si>
  <si>
    <t>Tiktok_MK~JED_TG</t>
  </si>
  <si>
    <t>Tiktok_MK~BAH_TG</t>
  </si>
  <si>
    <t>Tiktok_MK~AE_TG</t>
  </si>
  <si>
    <t>Social_MK~RIY_TG</t>
  </si>
  <si>
    <t>Social_MK~KW_TG</t>
  </si>
  <si>
    <t>Social_MK~JED_TG</t>
  </si>
  <si>
    <t>Social_MK~QA_TG</t>
  </si>
  <si>
    <t>Social_MK~BH_TG</t>
  </si>
  <si>
    <t>Social_MK~OM_TG</t>
  </si>
  <si>
    <t>Social_MK~AE_TG</t>
  </si>
  <si>
    <t>Social_MK~QT_TG</t>
  </si>
  <si>
    <t>Snapchat_MK~UAE_TG</t>
  </si>
  <si>
    <t>Playback Time</t>
  </si>
  <si>
    <t>Age Group</t>
  </si>
  <si>
    <t>Conversion Rate</t>
  </si>
  <si>
    <t>Millennials</t>
  </si>
  <si>
    <t>Boomers</t>
  </si>
  <si>
    <t>CTR Analysis</t>
  </si>
  <si>
    <t>Engagement</t>
  </si>
  <si>
    <t>/=IF(NOT(J2&gt;1000),"Low ","High")</t>
  </si>
  <si>
    <t>High</t>
  </si>
  <si>
    <t>Bad</t>
  </si>
  <si>
    <t>Low</t>
  </si>
  <si>
    <t>Grand Total</t>
  </si>
  <si>
    <t>Sum of Clicks</t>
  </si>
  <si>
    <t>Sum of Total Impressions</t>
  </si>
  <si>
    <t>Good</t>
  </si>
  <si>
    <t>Age_Group</t>
  </si>
  <si>
    <t>Conversion Rate for Boomers is significantly greater than millenials while the average CTR is also greater for Boomers. This will be of significant help towards improving and reforming the ads to reach a much wider audience and get to much higher conversion rate</t>
  </si>
  <si>
    <t>/=IF(M2&gt;=1.5%,"Good","Bad")</t>
  </si>
  <si>
    <r>
      <t>Q3:</t>
    </r>
    <r>
      <rPr>
        <sz val="14"/>
        <color rgb="FF000000"/>
        <rFont val="Calibri"/>
        <family val="2"/>
      </rPr>
      <t xml:space="preserve"> Using the Meta data, apply an IF statement to evaluate the CTR of each campaign. What percentage of campaigns had a "Good" CTR (e.g., above 2%)?</t>
    </r>
  </si>
  <si>
    <r>
      <t>Q4a:</t>
    </r>
    <r>
      <rPr>
        <sz val="14"/>
        <color rgb="FF000000"/>
        <rFont val="Calibri"/>
        <family val="2"/>
      </rPr>
      <t xml:space="preserve"> Implement the NOT function to identify campaigns on Snapchat that had low engagement (e.g., less than 1000 clicks). </t>
    </r>
  </si>
  <si>
    <r>
      <t>Q4b:</t>
    </r>
    <r>
      <rPr>
        <b/>
        <sz val="14"/>
        <color rgb="FF000000"/>
        <rFont val="Calibri"/>
        <family val="2"/>
      </rPr>
      <t xml:space="preserve"> </t>
    </r>
    <r>
      <rPr>
        <sz val="14"/>
        <color rgb="FF000000"/>
        <rFont val="Calibri"/>
        <family val="2"/>
      </rPr>
      <t>How many campaigns were flagged for low engagement, and what might this indicate about the campaign strategy?</t>
    </r>
  </si>
  <si>
    <r>
      <t>38</t>
    </r>
    <r>
      <rPr>
        <b/>
        <sz val="14"/>
        <color rgb="FF000000"/>
        <rFont val="Calibri"/>
        <family val="2"/>
      </rPr>
      <t xml:space="preserve"> </t>
    </r>
    <r>
      <rPr>
        <b/>
        <sz val="14"/>
        <color rgb="FFFF0000"/>
        <rFont val="Calibri"/>
        <family val="2"/>
      </rPr>
      <t>Campaigns</t>
    </r>
    <r>
      <rPr>
        <sz val="14"/>
        <color rgb="FF000000"/>
        <rFont val="Calibri"/>
        <family val="2"/>
      </rPr>
      <t xml:space="preserve"> were flagged for low engagement which makes up </t>
    </r>
    <r>
      <rPr>
        <b/>
        <sz val="14"/>
        <color rgb="FFFF0000"/>
        <rFont val="Calibri"/>
        <family val="2"/>
      </rPr>
      <t>71.7%</t>
    </r>
    <r>
      <rPr>
        <b/>
        <sz val="14"/>
        <color rgb="FF000000"/>
        <rFont val="Calibri"/>
        <family val="2"/>
      </rPr>
      <t xml:space="preserve"> </t>
    </r>
    <r>
      <rPr>
        <sz val="14"/>
        <color rgb="FF000000"/>
        <rFont val="Calibri"/>
        <family val="2"/>
      </rPr>
      <t>of the total campaigns, which indicates the need for a serious revision in the campaign stratagy</t>
    </r>
  </si>
  <si>
    <r>
      <t>Q5:</t>
    </r>
    <r>
      <rPr>
        <sz val="14"/>
        <color rgb="FF000000"/>
        <rFont val="Calibri"/>
        <family val="2"/>
      </rPr>
      <t xml:space="preserve"> Create a Pivot Table from the TikTok data to sum impressions and clicks by campaign name. Which campaign had the highest CTR, and what might be the reason for its success?</t>
    </r>
  </si>
  <si>
    <r>
      <t xml:space="preserve">Q6: </t>
    </r>
    <r>
      <rPr>
        <sz val="14"/>
        <color rgb="FF000000"/>
        <rFont val="Calibri"/>
        <family val="2"/>
      </rPr>
      <t>From the Meta data, create a Pivot Table to analyze the performance of ads targeted at different age groups. Which age group had the highest conversion rate, and how could this insight affect future campaigns?</t>
    </r>
  </si>
  <si>
    <t>Average CTR</t>
  </si>
  <si>
    <t>%CTR / Campaign</t>
  </si>
  <si>
    <t>/=COUNTIF(T2:T54,"Low")</t>
  </si>
  <si>
    <r>
      <rPr>
        <b/>
        <sz val="11"/>
        <color rgb="FFFF0000"/>
        <rFont val="Calibri"/>
        <family val="2"/>
      </rPr>
      <t>Tiktok_MK~RIY_TG</t>
    </r>
    <r>
      <rPr>
        <b/>
        <sz val="11"/>
        <color rgb="FF000000"/>
        <rFont val="Calibri"/>
        <family val="2"/>
      </rPr>
      <t xml:space="preserve"> Had the Highest CTR of </t>
    </r>
    <r>
      <rPr>
        <b/>
        <sz val="11"/>
        <color rgb="FFFF0000"/>
        <rFont val="Calibri"/>
        <family val="2"/>
      </rPr>
      <t>0.23%</t>
    </r>
  </si>
  <si>
    <t>Ramadan Digital Marketing Campaign</t>
  </si>
  <si>
    <t>CPC</t>
  </si>
  <si>
    <t>3-Second Video Views</t>
  </si>
  <si>
    <t>Meta</t>
  </si>
  <si>
    <t>Tiktok</t>
  </si>
  <si>
    <t>Snapchat</t>
  </si>
  <si>
    <t>Frequency</t>
  </si>
  <si>
    <t>Data</t>
  </si>
  <si>
    <t>VTR (3 Sec)</t>
  </si>
  <si>
    <t>No.</t>
  </si>
  <si>
    <t>Average Conversion Rate</t>
  </si>
  <si>
    <t>Average Engagement Rate</t>
  </si>
  <si>
    <r>
      <t xml:space="preserve">Q1: </t>
    </r>
    <r>
      <rPr>
        <sz val="14"/>
        <color rgb="FF000000"/>
        <rFont val="Calibri"/>
        <family val="2"/>
      </rPr>
      <t>Using the TikTok data, identify which columns needed to be split using text-to-Column. What steps did you take to ensure that the data was clean and ready for analysis?</t>
    </r>
  </si>
  <si>
    <r>
      <t xml:space="preserve">Q2: </t>
    </r>
    <r>
      <rPr>
        <sz val="14"/>
        <color rgb="FF000000"/>
        <rFont val="Calibri"/>
        <family val="2"/>
      </rPr>
      <t>After cleaning the Meta data, what patterns or errors did you notice that needed correction before further analysis?</t>
    </r>
  </si>
  <si>
    <t>x`x`</t>
  </si>
  <si>
    <t>Campaign name split using delimiter. Ad group name and ad name were already split hence were not required.</t>
  </si>
  <si>
    <t>Name consistancy was not there among the 3 datas</t>
  </si>
  <si>
    <t>Sum of Impressions</t>
  </si>
  <si>
    <t>Average of CTR</t>
  </si>
  <si>
    <t>Sum of Amount spent (USD)</t>
  </si>
  <si>
    <t>Meta Data</t>
  </si>
  <si>
    <t>Pivot Tables &amp; Visuals</t>
  </si>
  <si>
    <t>Wrong Data types</t>
  </si>
  <si>
    <t>Tiktok Data</t>
  </si>
  <si>
    <t>Snapchat Data</t>
  </si>
  <si>
    <t>Sum of Video Completions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</si>
</sst>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0"/>
    <numFmt numFmtId="166" formatCode="0.000000000"/>
    <numFmt numFmtId="167" formatCode="0.00000000"/>
    <numFmt numFmtId="168" formatCode="0.00000"/>
  </numFmts>
  <fonts count="2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b/>
      <sz val="14"/>
      <color rgb="FF000000"/>
      <name val="Calibri"/>
      <family val="2"/>
    </font>
    <font>
      <sz val="14"/>
      <color rgb="FF000000"/>
      <name val="Calibri"/>
      <family val="2"/>
    </font>
    <font>
      <sz val="11"/>
      <color rgb="FF000000"/>
      <name val="Calibri"/>
      <family val="2"/>
    </font>
    <font>
      <b/>
      <u/>
      <sz val="14"/>
      <color rgb="FF000000"/>
      <name val="Calibri"/>
      <family val="2"/>
    </font>
    <font>
      <b/>
      <sz val="14"/>
      <color rgb="FFFF0000"/>
      <name val="Calibri"/>
      <family val="2"/>
    </font>
    <font>
      <b/>
      <sz val="11"/>
      <color rgb="FF000000"/>
      <name val="Calibri"/>
      <family val="2"/>
    </font>
    <font>
      <b/>
      <sz val="11"/>
      <color rgb="FFFF0000"/>
      <name val="Calibri"/>
      <family val="2"/>
    </font>
    <font>
      <b/>
      <sz val="14"/>
      <color theme="1"/>
      <name val="Calibri"/>
      <family val="2"/>
    </font>
    <font>
      <sz val="14"/>
      <color theme="1"/>
      <name val="Calibri"/>
      <family val="2"/>
    </font>
    <font>
      <b/>
      <sz val="24"/>
      <color theme="1"/>
      <name val="Agency FB"/>
      <family val="2"/>
    </font>
    <font>
      <b/>
      <sz val="36"/>
      <color theme="3" tint="4.9989318521683403E-2"/>
      <name val="Agency FB"/>
      <family val="2"/>
    </font>
    <font>
      <b/>
      <sz val="36"/>
      <color theme="1"/>
      <name val="Agency FB"/>
      <family val="2"/>
    </font>
    <font>
      <b/>
      <sz val="24"/>
      <color theme="0"/>
      <name val="Agency FB"/>
      <family val="2"/>
    </font>
    <font>
      <b/>
      <sz val="68"/>
      <color theme="1"/>
      <name val="Agency FB"/>
      <family val="2"/>
    </font>
    <font>
      <sz val="36"/>
      <color theme="0"/>
      <name val="Agency FB"/>
      <family val="2"/>
    </font>
    <font>
      <b/>
      <sz val="48"/>
      <color theme="0"/>
      <name val="Agency FB"/>
      <family val="2"/>
    </font>
  </fonts>
  <fills count="13">
    <fill>
      <patternFill patternType="none"/>
    </fill>
    <fill>
      <patternFill patternType="gray125"/>
    </fill>
    <fill>
      <patternFill patternType="solid">
        <fgColor theme="7" tint="0.79998168889431442"/>
        <bgColor indexed="64"/>
      </patternFill>
    </fill>
    <fill>
      <patternFill patternType="solid">
        <fgColor rgb="FFF7A893"/>
        <bgColor rgb="FF000000"/>
      </patternFill>
    </fill>
    <fill>
      <patternFill patternType="solid">
        <fgColor rgb="FFE2EFDA"/>
        <bgColor rgb="FF000000"/>
      </patternFill>
    </fill>
    <fill>
      <patternFill patternType="solid">
        <fgColor theme="6" tint="0.79998168889431442"/>
        <bgColor indexed="64"/>
      </patternFill>
    </fill>
    <fill>
      <patternFill patternType="solid">
        <fgColor theme="8" tint="-0.249977111117893"/>
        <bgColor indexed="64"/>
      </patternFill>
    </fill>
    <fill>
      <patternFill patternType="solid">
        <fgColor rgb="FFFEF8F4"/>
        <bgColor indexed="64"/>
      </patternFill>
    </fill>
    <fill>
      <patternFill patternType="solid">
        <fgColor rgb="FFE36713"/>
        <bgColor indexed="64"/>
      </patternFill>
    </fill>
    <fill>
      <patternFill patternType="solid">
        <fgColor theme="0" tint="-0.34998626667073579"/>
        <bgColor indexed="64"/>
      </patternFill>
    </fill>
    <fill>
      <patternFill patternType="solid">
        <fgColor rgb="FFEB6C15"/>
        <bgColor indexed="64"/>
      </patternFill>
    </fill>
    <fill>
      <patternFill patternType="solid">
        <fgColor theme="8" tint="-0.499984740745262"/>
        <bgColor indexed="64"/>
      </patternFill>
    </fill>
    <fill>
      <patternFill patternType="solid">
        <fgColor theme="7" tint="-0.249977111117893"/>
        <bgColor indexed="64"/>
      </patternFill>
    </fill>
  </fills>
  <borders count="3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9" fontId="4" fillId="0" borderId="0" applyFont="0" applyFill="0" applyBorder="0" applyAlignment="0" applyProtection="0"/>
  </cellStyleXfs>
  <cellXfs count="96">
    <xf numFmtId="0" fontId="0" fillId="0" borderId="0" xfId="0"/>
    <xf numFmtId="2" fontId="0" fillId="0" borderId="0" xfId="0" applyNumberFormat="1"/>
    <xf numFmtId="1" fontId="0" fillId="0" borderId="0" xfId="0" applyNumberFormat="1"/>
    <xf numFmtId="0" fontId="0" fillId="2" borderId="0" xfId="0" applyFill="1"/>
    <xf numFmtId="165" fontId="0" fillId="0" borderId="0" xfId="0" applyNumberFormat="1"/>
    <xf numFmtId="10" fontId="0" fillId="0" borderId="0" xfId="0" applyNumberFormat="1"/>
    <xf numFmtId="164" fontId="0" fillId="0" borderId="0" xfId="1" applyNumberFormat="1" applyFont="1"/>
    <xf numFmtId="10" fontId="0" fillId="0" borderId="0" xfId="1" applyNumberFormat="1" applyFont="1"/>
    <xf numFmtId="0" fontId="3" fillId="2" borderId="0" xfId="0" applyFont="1" applyFill="1"/>
    <xf numFmtId="168" fontId="0" fillId="0" borderId="0" xfId="0" applyNumberFormat="1"/>
    <xf numFmtId="0" fontId="7" fillId="3" borderId="0" xfId="0" applyFont="1" applyFill="1" applyAlignment="1">
      <alignment wrapText="1"/>
    </xf>
    <xf numFmtId="0" fontId="9" fillId="0" borderId="0" xfId="0" applyFont="1"/>
    <xf numFmtId="0" fontId="7" fillId="4" borderId="0" xfId="0" applyFont="1" applyFill="1"/>
    <xf numFmtId="0" fontId="10" fillId="3" borderId="0" xfId="0" applyFont="1" applyFill="1" applyAlignment="1">
      <alignment wrapText="1"/>
    </xf>
    <xf numFmtId="0" fontId="11" fillId="4" borderId="0" xfId="0" applyFont="1" applyFill="1" applyAlignment="1">
      <alignment wrapText="1"/>
    </xf>
    <xf numFmtId="0" fontId="0" fillId="0" borderId="0" xfId="0" pivotButton="1" applyAlignment="1">
      <alignment vertical="center" wrapText="1"/>
    </xf>
    <xf numFmtId="0" fontId="0" fillId="0" borderId="0" xfId="0" applyAlignment="1">
      <alignment vertical="center" wrapText="1"/>
    </xf>
    <xf numFmtId="0" fontId="0" fillId="5" borderId="0" xfId="0" applyFill="1" applyAlignment="1">
      <alignment horizontal="left"/>
    </xf>
    <xf numFmtId="0" fontId="0" fillId="5" borderId="0" xfId="0" applyFill="1"/>
    <xf numFmtId="10" fontId="0" fillId="5" borderId="0" xfId="0" applyNumberFormat="1" applyFill="1"/>
    <xf numFmtId="0" fontId="5" fillId="5" borderId="0" xfId="0" applyFont="1" applyFill="1" applyAlignment="1">
      <alignment horizontal="left"/>
    </xf>
    <xf numFmtId="0" fontId="5" fillId="5" borderId="0" xfId="0" applyFont="1" applyFill="1"/>
    <xf numFmtId="10" fontId="5" fillId="5" borderId="0" xfId="0" applyNumberFormat="1" applyFont="1" applyFill="1"/>
    <xf numFmtId="0" fontId="0" fillId="5" borderId="0" xfId="0" applyFill="1" applyAlignment="1">
      <alignment horizontal="left" wrapText="1"/>
    </xf>
    <xf numFmtId="0" fontId="0" fillId="5" borderId="0" xfId="0" applyFill="1" applyAlignment="1">
      <alignment wrapText="1"/>
    </xf>
    <xf numFmtId="10" fontId="0" fillId="5" borderId="0" xfId="0" applyNumberFormat="1" applyFill="1" applyAlignment="1">
      <alignment wrapText="1"/>
    </xf>
    <xf numFmtId="0" fontId="0" fillId="0" borderId="0" xfId="0" applyAlignment="1">
      <alignment wrapText="1"/>
    </xf>
    <xf numFmtId="0" fontId="5" fillId="0" borderId="0" xfId="0" pivotButton="1" applyFont="1" applyAlignment="1">
      <alignment vertical="center"/>
    </xf>
    <xf numFmtId="0" fontId="14" fillId="4" borderId="0" xfId="0" applyFont="1" applyFill="1" applyAlignment="1">
      <alignment wrapText="1"/>
    </xf>
    <xf numFmtId="0" fontId="15" fillId="4" borderId="0" xfId="0" applyFont="1" applyFill="1" applyAlignment="1">
      <alignment wrapText="1"/>
    </xf>
    <xf numFmtId="0" fontId="5" fillId="5" borderId="0" xfId="0" applyFont="1" applyFill="1" applyAlignment="1">
      <alignment horizontal="left" vertical="center"/>
    </xf>
    <xf numFmtId="10" fontId="5" fillId="5" borderId="0" xfId="0" applyNumberFormat="1" applyFont="1" applyFill="1" applyAlignment="1">
      <alignment vertical="center"/>
    </xf>
    <xf numFmtId="2" fontId="0" fillId="0" borderId="0" xfId="1" applyNumberFormat="1" applyFont="1"/>
    <xf numFmtId="0" fontId="2" fillId="2" borderId="0" xfId="0" applyFont="1" applyFill="1"/>
    <xf numFmtId="0" fontId="17" fillId="7" borderId="12" xfId="0" applyFont="1" applyFill="1" applyBorder="1" applyAlignment="1">
      <alignment horizontal="left"/>
    </xf>
    <xf numFmtId="2" fontId="16" fillId="7" borderId="13" xfId="0" applyNumberFormat="1" applyFont="1" applyFill="1" applyBorder="1"/>
    <xf numFmtId="9" fontId="16" fillId="7" borderId="12" xfId="1" applyFont="1" applyFill="1" applyBorder="1"/>
    <xf numFmtId="2" fontId="16" fillId="7" borderId="12" xfId="0" applyNumberFormat="1" applyFont="1" applyFill="1" applyBorder="1"/>
    <xf numFmtId="10" fontId="1" fillId="5" borderId="0" xfId="0" applyNumberFormat="1" applyFont="1" applyFill="1" applyAlignment="1">
      <alignment vertical="center"/>
    </xf>
    <xf numFmtId="0" fontId="1" fillId="5" borderId="0" xfId="0" applyFont="1" applyFill="1" applyAlignment="1">
      <alignment horizontal="left" vertical="center"/>
    </xf>
    <xf numFmtId="0" fontId="1" fillId="0" borderId="0" xfId="0" applyFont="1"/>
    <xf numFmtId="165" fontId="0" fillId="0" borderId="0" xfId="1" applyNumberFormat="1" applyFont="1"/>
    <xf numFmtId="165" fontId="1" fillId="2" borderId="0" xfId="0" applyNumberFormat="1" applyFont="1" applyFill="1"/>
    <xf numFmtId="0" fontId="0" fillId="0" borderId="5" xfId="0" applyBorder="1"/>
    <xf numFmtId="0" fontId="0" fillId="0" borderId="6" xfId="0" applyBorder="1"/>
    <xf numFmtId="0" fontId="0" fillId="0" borderId="5" xfId="0" pivotButton="1" applyBorder="1"/>
    <xf numFmtId="9" fontId="0" fillId="0" borderId="15" xfId="0" applyNumberFormat="1" applyBorder="1"/>
    <xf numFmtId="9" fontId="0" fillId="0" borderId="16" xfId="0" applyNumberFormat="1" applyBorder="1"/>
    <xf numFmtId="9" fontId="0" fillId="0" borderId="17" xfId="0" applyNumberFormat="1" applyBorder="1"/>
    <xf numFmtId="0" fontId="0" fillId="0" borderId="1" xfId="0" pivotButton="1" applyBorder="1"/>
    <xf numFmtId="0" fontId="0" fillId="0" borderId="15" xfId="0" applyBorder="1" applyAlignment="1">
      <alignment horizontal="left"/>
    </xf>
    <xf numFmtId="0" fontId="0" fillId="0" borderId="17" xfId="0" applyBorder="1" applyAlignment="1">
      <alignment horizontal="left"/>
    </xf>
    <xf numFmtId="0" fontId="0" fillId="0" borderId="1" xfId="0" applyBorder="1" applyAlignment="1">
      <alignment horizontal="left"/>
    </xf>
    <xf numFmtId="0" fontId="0" fillId="0" borderId="1" xfId="0" applyBorder="1"/>
    <xf numFmtId="0" fontId="0" fillId="0" borderId="0" xfId="0" pivotButton="1"/>
    <xf numFmtId="10" fontId="0" fillId="0" borderId="15" xfId="0" applyNumberFormat="1" applyBorder="1"/>
    <xf numFmtId="10" fontId="0" fillId="0" borderId="16" xfId="0" applyNumberFormat="1" applyBorder="1"/>
    <xf numFmtId="10" fontId="0" fillId="0" borderId="17" xfId="0" applyNumberFormat="1" applyBorder="1"/>
    <xf numFmtId="0" fontId="0" fillId="0" borderId="0" xfId="0" applyAlignment="1">
      <alignment vertical="center"/>
    </xf>
    <xf numFmtId="0" fontId="0" fillId="0" borderId="0" xfId="0" applyAlignment="1">
      <alignment horizontal="center" vertical="center"/>
    </xf>
    <xf numFmtId="0" fontId="17" fillId="7" borderId="13" xfId="0" applyFont="1" applyFill="1" applyBorder="1" applyAlignment="1">
      <alignment horizontal="left"/>
    </xf>
    <xf numFmtId="10" fontId="16" fillId="7" borderId="14" xfId="0" applyNumberFormat="1" applyFont="1" applyFill="1" applyBorder="1"/>
    <xf numFmtId="0" fontId="18" fillId="7" borderId="21" xfId="0" applyFont="1" applyFill="1" applyBorder="1"/>
    <xf numFmtId="0" fontId="17" fillId="7" borderId="22" xfId="0" applyFont="1" applyFill="1" applyBorder="1" applyAlignment="1">
      <alignment horizontal="left"/>
    </xf>
    <xf numFmtId="0" fontId="19" fillId="6" borderId="21" xfId="0" applyFont="1" applyFill="1" applyBorder="1" applyAlignment="1">
      <alignment horizontal="center"/>
    </xf>
    <xf numFmtId="10" fontId="16" fillId="7" borderId="23" xfId="0" applyNumberFormat="1" applyFont="1" applyFill="1" applyBorder="1"/>
    <xf numFmtId="0" fontId="19" fillId="10" borderId="21" xfId="0" applyFont="1" applyFill="1" applyBorder="1" applyAlignment="1">
      <alignment horizontal="center"/>
    </xf>
    <xf numFmtId="0" fontId="19" fillId="9" borderId="24" xfId="0" applyFont="1" applyFill="1" applyBorder="1" applyAlignment="1">
      <alignment horizontal="center"/>
    </xf>
    <xf numFmtId="2" fontId="16" fillId="7" borderId="27" xfId="0" applyNumberFormat="1" applyFont="1" applyFill="1" applyBorder="1"/>
    <xf numFmtId="9" fontId="16" fillId="7" borderId="28" xfId="1" applyFont="1" applyFill="1" applyBorder="1"/>
    <xf numFmtId="10" fontId="16" fillId="7" borderId="25" xfId="0" applyNumberFormat="1" applyFont="1" applyFill="1" applyBorder="1"/>
    <xf numFmtId="10" fontId="16" fillId="7" borderId="29" xfId="0" applyNumberFormat="1" applyFont="1" applyFill="1" applyBorder="1"/>
    <xf numFmtId="165" fontId="1" fillId="0" borderId="0" xfId="1" applyNumberFormat="1" applyFont="1"/>
    <xf numFmtId="0" fontId="7" fillId="4" borderId="0" xfId="0" applyFont="1" applyFill="1" applyAlignment="1">
      <alignment wrapText="1"/>
    </xf>
    <xf numFmtId="0" fontId="0" fillId="0" borderId="7" xfId="0" applyBorder="1"/>
    <xf numFmtId="0" fontId="0" fillId="0" borderId="8" xfId="0" applyBorder="1"/>
    <xf numFmtId="0" fontId="0" fillId="0" borderId="9" xfId="0" applyBorder="1"/>
    <xf numFmtId="0" fontId="20" fillId="7" borderId="18" xfId="0" applyFont="1" applyFill="1" applyBorder="1" applyAlignment="1">
      <alignment horizontal="center"/>
    </xf>
    <xf numFmtId="0" fontId="20" fillId="7" borderId="19" xfId="0" applyFont="1" applyFill="1" applyBorder="1" applyAlignment="1">
      <alignment horizontal="center"/>
    </xf>
    <xf numFmtId="0" fontId="20" fillId="7" borderId="20" xfId="0" applyFont="1" applyFill="1" applyBorder="1" applyAlignment="1">
      <alignment horizontal="center"/>
    </xf>
    <xf numFmtId="0" fontId="17" fillId="7" borderId="10" xfId="0" applyFont="1" applyFill="1" applyBorder="1" applyAlignment="1">
      <alignment horizontal="left"/>
    </xf>
    <xf numFmtId="0" fontId="17" fillId="7" borderId="11" xfId="0" applyFont="1" applyFill="1" applyBorder="1" applyAlignment="1">
      <alignment horizontal="left"/>
    </xf>
    <xf numFmtId="0" fontId="19" fillId="6" borderId="14" xfId="0" applyFont="1" applyFill="1" applyBorder="1" applyAlignment="1">
      <alignment horizontal="left"/>
    </xf>
    <xf numFmtId="0" fontId="19" fillId="6" borderId="11" xfId="0" applyFont="1" applyFill="1" applyBorder="1" applyAlignment="1">
      <alignment horizontal="left"/>
    </xf>
    <xf numFmtId="0" fontId="19" fillId="8" borderId="14" xfId="0" applyFont="1" applyFill="1" applyBorder="1" applyAlignment="1">
      <alignment horizontal="left"/>
    </xf>
    <xf numFmtId="0" fontId="19" fillId="8" borderId="11" xfId="0" applyFont="1" applyFill="1" applyBorder="1" applyAlignment="1">
      <alignment horizontal="left"/>
    </xf>
    <xf numFmtId="0" fontId="19" fillId="9" borderId="25" xfId="0" applyFont="1" applyFill="1" applyBorder="1" applyAlignment="1">
      <alignment horizontal="left"/>
    </xf>
    <xf numFmtId="0" fontId="19" fillId="9" borderId="26" xfId="0" applyFont="1" applyFill="1" applyBorder="1" applyAlignment="1">
      <alignment horizontal="left"/>
    </xf>
    <xf numFmtId="0" fontId="10" fillId="3" borderId="0" xfId="0" applyFont="1" applyFill="1" applyAlignment="1">
      <alignment horizontal="center" vertical="center" wrapText="1"/>
    </xf>
    <xf numFmtId="0" fontId="15" fillId="4" borderId="0" xfId="0" applyFont="1" applyFill="1" applyAlignment="1">
      <alignment horizontal="center" wrapText="1"/>
    </xf>
    <xf numFmtId="0" fontId="22" fillId="11" borderId="2" xfId="0" applyFont="1" applyFill="1" applyBorder="1" applyAlignment="1">
      <alignment horizontal="center"/>
    </xf>
    <xf numFmtId="0" fontId="22" fillId="11" borderId="3" xfId="0" applyFont="1" applyFill="1" applyBorder="1" applyAlignment="1">
      <alignment horizontal="center"/>
    </xf>
    <xf numFmtId="0" fontId="22" fillId="11" borderId="4" xfId="0" applyFont="1" applyFill="1" applyBorder="1" applyAlignment="1">
      <alignment horizontal="center"/>
    </xf>
    <xf numFmtId="0" fontId="21" fillId="12" borderId="5" xfId="0" applyFont="1" applyFill="1" applyBorder="1" applyAlignment="1">
      <alignment horizontal="center" vertical="center"/>
    </xf>
    <xf numFmtId="0" fontId="21" fillId="12" borderId="0" xfId="0" applyFont="1" applyFill="1" applyAlignment="1">
      <alignment horizontal="center" vertical="center"/>
    </xf>
    <xf numFmtId="0" fontId="21" fillId="12" borderId="6" xfId="0" applyFont="1" applyFill="1" applyBorder="1" applyAlignment="1">
      <alignment horizontal="center" vertical="center"/>
    </xf>
  </cellXfs>
  <cellStyles count="2">
    <cellStyle name="Normal" xfId="0" builtinId="0"/>
    <cellStyle name="Percent" xfId="1" builtinId="5"/>
  </cellStyles>
  <dxfs count="113">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4" formatCode="0.0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4" formatCode="0.0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13" formatCode="0%"/>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0"/>
    </dxf>
    <dxf>
      <alignment horizontal="center"/>
    </dxf>
    <dxf>
      <alignment wrapText="0"/>
    </dxf>
    <dxf>
      <numFmt numFmtId="14" formatCode="0.00%"/>
    </dxf>
    <dxf>
      <fill>
        <patternFill patternType="solid">
          <bgColor theme="6" tint="0.79998168889431442"/>
        </patternFill>
      </fill>
    </dxf>
    <dxf>
      <fill>
        <patternFill patternType="solid">
          <bgColor theme="6" tint="0.79998168889431442"/>
        </patternFill>
      </fill>
    </dxf>
    <dxf>
      <alignment vertical="center"/>
    </dxf>
    <dxf>
      <alignment vertical="center"/>
    </dxf>
    <dxf>
      <alignment vertical="center"/>
    </dxf>
    <dxf>
      <alignment vertical="center"/>
    </dxf>
    <dxf>
      <numFmt numFmtId="14" formatCode="0.00%"/>
    </dxf>
    <dxf>
      <font>
        <b val="0"/>
      </font>
    </dxf>
    <dxf>
      <font>
        <b val="0"/>
      </font>
    </dxf>
    <dxf>
      <font>
        <b/>
        <family val="2"/>
      </font>
    </dxf>
    <dxf>
      <font>
        <b/>
        <family val="2"/>
      </font>
    </dxf>
    <dxf>
      <font>
        <b/>
        <family val="2"/>
      </font>
    </dxf>
    <dxf>
      <alignment wrapText="0"/>
    </dxf>
    <dxf>
      <alignment wrapText="0"/>
    </dxf>
    <dxf>
      <alignment horizontal="center"/>
    </dxf>
    <dxf>
      <alignment wrapText="1"/>
    </dxf>
    <dxf>
      <alignment wrapText="1"/>
    </dxf>
    <dxf>
      <fill>
        <patternFill patternType="solid">
          <bgColor theme="6" tint="0.79998168889431442"/>
        </patternFill>
      </fill>
    </dxf>
    <dxf>
      <fill>
        <patternFill patternType="solid">
          <bgColor theme="6" tint="0.79998168889431442"/>
        </patternFill>
      </fill>
    </dxf>
    <dxf>
      <alignment wrapText="1"/>
    </dxf>
    <dxf>
      <alignment wrapText="1"/>
    </dxf>
    <dxf>
      <alignment vertical="center"/>
    </dxf>
    <dxf>
      <alignment vertical="center"/>
    </dxf>
    <dxf>
      <font>
        <b/>
        <family val="2"/>
      </font>
    </dxf>
    <dxf>
      <font>
        <b/>
        <family val="2"/>
      </font>
    </dxf>
    <dxf>
      <numFmt numFmtId="14" formatCode="0.00%"/>
    </dxf>
    <dxf>
      <font>
        <color rgb="FFC00000"/>
      </font>
    </dxf>
    <dxf>
      <font>
        <color theme="5" tint="-0.499984740745262"/>
      </font>
    </dxf>
    <dxf>
      <font>
        <color theme="0"/>
      </font>
      <fill>
        <patternFill>
          <bgColor theme="9" tint="-0.24994659260841701"/>
        </patternFill>
      </fill>
    </dxf>
    <dxf>
      <font>
        <color rgb="FF9C0006"/>
      </font>
    </dxf>
    <dxf>
      <font>
        <color theme="9"/>
      </font>
    </dxf>
    <dxf>
      <font>
        <color theme="3"/>
      </font>
      <fill>
        <patternFill>
          <bgColor theme="9" tint="0.39994506668294322"/>
        </patternFill>
      </fill>
    </dxf>
    <dxf>
      <fill>
        <patternFill>
          <bgColor theme="9"/>
        </patternFill>
      </fill>
    </dxf>
    <dxf>
      <fill>
        <patternFill>
          <bgColor theme="9" tint="0.39994506668294322"/>
        </patternFill>
      </fill>
    </dxf>
  </dxfs>
  <tableStyles count="0" defaultTableStyle="TableStyleMedium2" defaultPivotStyle="PivotStyleLight16"/>
  <colors>
    <mruColors>
      <color rgb="FF00CC00"/>
      <color rgb="FFFF0000"/>
      <color rgb="FFEB6C15"/>
      <color rgb="FFE36713"/>
      <color rgb="FFFEF8F4"/>
      <color rgb="FFFF9371"/>
      <color rgb="FFFF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01746210295141E-2"/>
          <c:y val="0.28288762296893122"/>
          <c:w val="0.86944185548235042"/>
          <c:h val="0.58398533432682997"/>
        </c:manualLayout>
      </c:layout>
      <c:barChart>
        <c:barDir val="bar"/>
        <c:grouping val="stacked"/>
        <c:varyColors val="1"/>
        <c:ser>
          <c:idx val="0"/>
          <c:order val="0"/>
          <c:tx>
            <c:strRef>
              <c:f>'Summary Sheet'!$D$2</c:f>
              <c:strCache>
                <c:ptCount val="1"/>
                <c:pt idx="0">
                  <c:v>CPC</c:v>
                </c:pt>
              </c:strCache>
            </c:strRef>
          </c:tx>
          <c:invertIfNegative val="0"/>
          <c:dPt>
            <c:idx val="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DAA-42EB-ABAF-A18D2DE5A474}"/>
              </c:ext>
            </c:extLst>
          </c:dPt>
          <c:dPt>
            <c:idx val="1"/>
            <c:invertIfNegative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DAA-42EB-ABAF-A18D2DE5A474}"/>
              </c:ext>
            </c:extLst>
          </c:dPt>
          <c:dPt>
            <c:idx val="2"/>
            <c:invertIfNegative val="0"/>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DAA-42EB-ABAF-A18D2DE5A47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'Summary Sheet'!$D$3:$D$5</c:f>
              <c:numCache>
                <c:formatCode>0.00</c:formatCode>
                <c:ptCount val="3"/>
                <c:pt idx="0">
                  <c:v>0.12673810074901992</c:v>
                </c:pt>
                <c:pt idx="1">
                  <c:v>0.6574365143346601</c:v>
                </c:pt>
                <c:pt idx="2">
                  <c:v>0.42065189619301391</c:v>
                </c:pt>
              </c:numCache>
            </c:numRef>
          </c:val>
          <c:extLst>
            <c:ext xmlns:c16="http://schemas.microsoft.com/office/drawing/2014/chart" uri="{C3380CC4-5D6E-409C-BE32-E72D297353CC}">
              <c16:uniqueId val="{00000000-F64D-4C2A-8D4C-6D9CD13DDBB4}"/>
            </c:ext>
          </c:extLst>
        </c:ser>
        <c:dLbls>
          <c:showLegendKey val="0"/>
          <c:showVal val="0"/>
          <c:showCatName val="0"/>
          <c:showSerName val="0"/>
          <c:showPercent val="0"/>
          <c:showBubbleSize val="0"/>
        </c:dLbls>
        <c:gapWidth val="40"/>
        <c:overlap val="100"/>
        <c:axId val="76693984"/>
        <c:axId val="76667584"/>
      </c:barChart>
      <c:catAx>
        <c:axId val="76693984"/>
        <c:scaling>
          <c:orientation val="minMax"/>
        </c:scaling>
        <c:delete val="0"/>
        <c:axPos val="l"/>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76667584"/>
        <c:crosses val="autoZero"/>
        <c:auto val="1"/>
        <c:lblAlgn val="ctr"/>
        <c:lblOffset val="100"/>
        <c:noMultiLvlLbl val="0"/>
      </c:catAx>
      <c:valAx>
        <c:axId val="76667584"/>
        <c:scaling>
          <c:orientation val="minMax"/>
        </c:scaling>
        <c:delete val="0"/>
        <c:axPos val="b"/>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76693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'Summary Sheet'!$E$2</c:f>
              <c:strCache>
                <c:ptCount val="1"/>
                <c:pt idx="0">
                  <c:v>VTR</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C25-4DDA-9D88-FFBCC7A3CAF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7C25-4DDA-9D88-FFBCC7A3CAF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C25-4DDA-9D88-FFBCC7A3CAFF}"/>
              </c:ext>
            </c:extLst>
          </c:dPt>
          <c:dLbls>
            <c:dLbl>
              <c:idx val="0"/>
              <c:tx>
                <c:rich>
                  <a:bodyPr/>
                  <a:lstStyle/>
                  <a:p>
                    <a:fld id="{B899C14E-CED0-4356-8454-8C63DBCDA4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7C25-4DDA-9D88-FFBCC7A3CAFF}"/>
                </c:ext>
              </c:extLst>
            </c:dLbl>
            <c:dLbl>
              <c:idx val="1"/>
              <c:tx>
                <c:rich>
                  <a:bodyPr/>
                  <a:lstStyle/>
                  <a:p>
                    <a:fld id="{EBFD50B0-7A74-4472-907C-67338C82D9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7C25-4DDA-9D88-FFBCC7A3CAFF}"/>
                </c:ext>
              </c:extLst>
            </c:dLbl>
            <c:dLbl>
              <c:idx val="2"/>
              <c:tx>
                <c:rich>
                  <a:bodyPr/>
                  <a:lstStyle/>
                  <a:p>
                    <a:fld id="{ADEBCAB7-FE3E-4C1F-8B80-5E0D4450C0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C25-4DDA-9D88-FFBCC7A3CAFF}"/>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val>
            <c:numRef>
              <c:f>'Summary Sheet'!$E$3:$E$5</c:f>
              <c:numCache>
                <c:formatCode>0%</c:formatCode>
                <c:ptCount val="3"/>
                <c:pt idx="0">
                  <c:v>0.14377997060766945</c:v>
                </c:pt>
                <c:pt idx="1">
                  <c:v>0.14860875904623497</c:v>
                </c:pt>
                <c:pt idx="2">
                  <c:v>0.15732683031191932</c:v>
                </c:pt>
              </c:numCache>
            </c:numRef>
          </c:val>
          <c:extLst>
            <c:ext xmlns:c15="http://schemas.microsoft.com/office/drawing/2012/chart" uri="{02D57815-91ED-43cb-92C2-25804820EDAC}">
              <c15:datalabelsRange>
                <c15:f>'Summary Sheet'!$E$3:$E$5</c15:f>
                <c15:dlblRangeCache>
                  <c:ptCount val="3"/>
                  <c:pt idx="0">
                    <c:v>14%</c:v>
                  </c:pt>
                  <c:pt idx="1">
                    <c:v>15%</c:v>
                  </c:pt>
                  <c:pt idx="2">
                    <c:v>16%</c:v>
                  </c:pt>
                </c15:dlblRangeCache>
              </c15:datalabelsRange>
            </c:ext>
            <c:ext xmlns:c16="http://schemas.microsoft.com/office/drawing/2014/chart" uri="{C3380CC4-5D6E-409C-BE32-E72D297353CC}">
              <c16:uniqueId val="{00000000-7C25-4DDA-9D88-FFBCC7A3CAFF}"/>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376779128796517"/>
          <c:y val="8.0384393528233483E-2"/>
        </c:manualLayout>
      </c:layout>
      <c:overlay val="0"/>
      <c:spPr>
        <a:noFill/>
        <a:ln>
          <a:noFill/>
        </a:ln>
        <a:effectLst/>
      </c:spPr>
      <c:txPr>
        <a:bodyPr rot="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0898188902781298"/>
          <c:y val="0.2803990683925292"/>
          <c:w val="0.41511062868196924"/>
          <c:h val="0.71391275137725618"/>
        </c:manualLayout>
      </c:layout>
      <c:pieChart>
        <c:varyColors val="1"/>
        <c:ser>
          <c:idx val="0"/>
          <c:order val="0"/>
          <c:tx>
            <c:strRef>
              <c:f>'Summary Sheet'!$G$2</c:f>
              <c:strCache>
                <c:ptCount val="1"/>
                <c:pt idx="0">
                  <c:v>CTR</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F9C-4D86-B751-9B9D5EEFAB4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F9C-4D86-B751-9B9D5EEFAB4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8F9C-4D86-B751-9B9D5EEFAB4E}"/>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'Summary Sheet'!$G$3:$G$5</c:f>
              <c:numCache>
                <c:formatCode>0.00%</c:formatCode>
                <c:ptCount val="3"/>
                <c:pt idx="0">
                  <c:v>3.6528369792846451E-3</c:v>
                </c:pt>
                <c:pt idx="1">
                  <c:v>9.4444444444444437E-4</c:v>
                </c:pt>
                <c:pt idx="2">
                  <c:v>3.5372972080900491E-3</c:v>
                </c:pt>
              </c:numCache>
            </c:numRef>
          </c:val>
          <c:extLst>
            <c:ext xmlns:c16="http://schemas.microsoft.com/office/drawing/2014/chart" uri="{C3380CC4-5D6E-409C-BE32-E72D297353CC}">
              <c16:uniqueId val="{00000000-8F9C-4D86-B751-9B9D5EEFAB4E}"/>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42480473661986E-2"/>
          <c:y val="0.25144803646422903"/>
          <c:w val="0.88039254607057671"/>
          <c:h val="0.61458326356189341"/>
        </c:manualLayout>
      </c:layout>
      <c:barChart>
        <c:barDir val="bar"/>
        <c:grouping val="stacked"/>
        <c:varyColors val="1"/>
        <c:ser>
          <c:idx val="0"/>
          <c:order val="0"/>
          <c:tx>
            <c:strRef>
              <c:f>'Summary Sheet'!$F$2</c:f>
              <c:strCache>
                <c:ptCount val="1"/>
                <c:pt idx="0">
                  <c:v>CPM</c:v>
                </c:pt>
              </c:strCache>
            </c:strRef>
          </c:tx>
          <c:invertIfNegative val="1"/>
          <c:dPt>
            <c:idx val="0"/>
            <c:invertIfNegative val="1"/>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85A0-4989-8389-4FB51B496EED}"/>
              </c:ext>
            </c:extLst>
          </c:dPt>
          <c:dPt>
            <c:idx val="1"/>
            <c:invertIfNegative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5A0-4989-8389-4FB51B496EED}"/>
              </c:ext>
            </c:extLst>
          </c:dPt>
          <c:dPt>
            <c:idx val="2"/>
            <c:invertIfNegative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5A0-4989-8389-4FB51B496EED}"/>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'Summary Sheet'!$F$3:$F$5</c:f>
              <c:numCache>
                <c:formatCode>0.00</c:formatCode>
                <c:ptCount val="3"/>
                <c:pt idx="0">
                  <c:v>1.1215053435719344</c:v>
                </c:pt>
                <c:pt idx="1">
                  <c:v>1.8877777777777776</c:v>
                </c:pt>
                <c:pt idx="2">
                  <c:v>1.6230188679245283</c:v>
                </c:pt>
              </c:numCache>
            </c:numRef>
          </c:val>
          <c:extLst>
            <c:ext xmlns:c16="http://schemas.microsoft.com/office/drawing/2014/chart" uri="{C3380CC4-5D6E-409C-BE32-E72D297353CC}">
              <c16:uniqueId val="{00000000-CBAA-4A0D-95DF-2B4A58B37C7B}"/>
            </c:ext>
          </c:extLst>
        </c:ser>
        <c:dLbls>
          <c:dLblPos val="ctr"/>
          <c:showLegendKey val="0"/>
          <c:showVal val="1"/>
          <c:showCatName val="0"/>
          <c:showSerName val="0"/>
          <c:showPercent val="0"/>
          <c:showBubbleSize val="0"/>
        </c:dLbls>
        <c:gapWidth val="54"/>
        <c:overlap val="100"/>
        <c:axId val="179440032"/>
        <c:axId val="179452512"/>
      </c:barChart>
      <c:catAx>
        <c:axId val="179440032"/>
        <c:scaling>
          <c:orientation val="minMax"/>
        </c:scaling>
        <c:delete val="0"/>
        <c:axPos val="l"/>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79452512"/>
        <c:crosses val="autoZero"/>
        <c:auto val="1"/>
        <c:lblAlgn val="ctr"/>
        <c:lblOffset val="100"/>
        <c:noMultiLvlLbl val="0"/>
      </c:catAx>
      <c:valAx>
        <c:axId val="179452512"/>
        <c:scaling>
          <c:orientation val="minMax"/>
        </c:scaling>
        <c:delete val="0"/>
        <c:axPos val="b"/>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79440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a:t>Engagement Rate</a:t>
            </a:r>
          </a:p>
        </c:rich>
      </c:tx>
      <c:overlay val="0"/>
      <c:spPr>
        <a:noFill/>
        <a:ln>
          <a:noFill/>
        </a:ln>
        <a:effectLst/>
      </c:spPr>
      <c:txPr>
        <a:bodyPr rot="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Amasis MT Pro Black" panose="02040A040500050203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 Sheet'!$H$2</c:f>
              <c:strCache>
                <c:ptCount val="1"/>
                <c:pt idx="0">
                  <c:v>Engagement Rate</c:v>
                </c:pt>
              </c:strCache>
            </c:strRef>
          </c:cat>
          <c:val>
            <c:numRef>
              <c:f>'Summary Sheet'!$H$3</c:f>
              <c:numCache>
                <c:formatCode>0.00%</c:formatCode>
                <c:ptCount val="1"/>
                <c:pt idx="0">
                  <c:v>0.32666267413145539</c:v>
                </c:pt>
              </c:numCache>
            </c:numRef>
          </c:val>
          <c:extLst>
            <c:ext xmlns:c16="http://schemas.microsoft.com/office/drawing/2014/chart" uri="{C3380CC4-5D6E-409C-BE32-E72D297353CC}">
              <c16:uniqueId val="{00000000-614B-4861-9674-0E77BB5B939B}"/>
            </c:ext>
          </c:extLst>
        </c:ser>
        <c:ser>
          <c:idx val="1"/>
          <c:order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Amasis MT Pro Black" panose="02040A040500050203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 Sheet'!$H$2</c:f>
              <c:strCache>
                <c:ptCount val="1"/>
                <c:pt idx="0">
                  <c:v>Engagement Rate</c:v>
                </c:pt>
              </c:strCache>
            </c:strRef>
          </c:cat>
          <c:val>
            <c:numRef>
              <c:f>'Summary Sheet'!$H$4</c:f>
              <c:numCache>
                <c:formatCode>0.00%</c:formatCode>
                <c:ptCount val="1"/>
                <c:pt idx="0">
                  <c:v>4.3450704225352112E-3</c:v>
                </c:pt>
              </c:numCache>
            </c:numRef>
          </c:val>
          <c:extLst>
            <c:ext xmlns:c16="http://schemas.microsoft.com/office/drawing/2014/chart" uri="{C3380CC4-5D6E-409C-BE32-E72D297353CC}">
              <c16:uniqueId val="{00000001-614B-4861-9674-0E77BB5B939B}"/>
            </c:ext>
          </c:extLst>
        </c:ser>
        <c:ser>
          <c:idx val="2"/>
          <c:order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Amasis MT Pro Black" panose="02040A04050005020304" pitchFamily="18"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 Sheet'!$H$2</c:f>
              <c:strCache>
                <c:ptCount val="1"/>
                <c:pt idx="0">
                  <c:v>Engagement Rate</c:v>
                </c:pt>
              </c:strCache>
            </c:strRef>
          </c:cat>
          <c:val>
            <c:numRef>
              <c:f>'Summary Sheet'!$H$5</c:f>
              <c:numCache>
                <c:formatCode>0.00%</c:formatCode>
                <c:ptCount val="1"/>
                <c:pt idx="0">
                  <c:v>5.6328882631672163E-3</c:v>
                </c:pt>
              </c:numCache>
            </c:numRef>
          </c:val>
          <c:extLst>
            <c:ext xmlns:c16="http://schemas.microsoft.com/office/drawing/2014/chart" uri="{C3380CC4-5D6E-409C-BE32-E72D297353CC}">
              <c16:uniqueId val="{00000002-614B-4861-9674-0E77BB5B939B}"/>
            </c:ext>
          </c:extLst>
        </c:ser>
        <c:dLbls>
          <c:dLblPos val="outEnd"/>
          <c:showLegendKey val="0"/>
          <c:showVal val="1"/>
          <c:showCatName val="0"/>
          <c:showSerName val="0"/>
          <c:showPercent val="0"/>
          <c:showBubbleSize val="0"/>
        </c:dLbls>
        <c:gapWidth val="115"/>
        <c:overlap val="-20"/>
        <c:axId val="179342112"/>
        <c:axId val="179338752"/>
      </c:barChart>
      <c:catAx>
        <c:axId val="179342112"/>
        <c:scaling>
          <c:orientation val="minMax"/>
        </c:scaling>
        <c:delete val="1"/>
        <c:axPos val="l"/>
        <c:numFmt formatCode="General" sourceLinked="1"/>
        <c:majorTickMark val="out"/>
        <c:minorTickMark val="none"/>
        <c:tickLblPos val="nextTo"/>
        <c:crossAx val="179338752"/>
        <c:crosses val="autoZero"/>
        <c:auto val="1"/>
        <c:lblAlgn val="ctr"/>
        <c:lblOffset val="100"/>
        <c:noMultiLvlLbl val="0"/>
      </c:catAx>
      <c:valAx>
        <c:axId val="179338752"/>
        <c:scaling>
          <c:orientation val="minMax"/>
        </c:scaling>
        <c:delete val="0"/>
        <c:axPos val="b"/>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9342112"/>
        <c:crosses val="autoZero"/>
        <c:crossBetween val="between"/>
      </c:valAx>
      <c:spPr>
        <a:noFill/>
        <a:ln>
          <a:noFill/>
        </a:ln>
        <a:effectLst/>
      </c:spPr>
    </c:plotArea>
    <c:plotVisOnly val="1"/>
    <c:dispBlanksAs val="gap"/>
    <c:showDLblsOverMax val="0"/>
  </c:chart>
  <c:spPr>
    <a:solidFill>
      <a:schemeClr val="accent4">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'CTR' by 'Age Group' and 'Language'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AR</c:v>
          </c:tx>
          <c:spPr>
            <a:solidFill>
              <a:schemeClr val="accent1"/>
            </a:solidFill>
            <a:ln>
              <a:noFill/>
            </a:ln>
            <a:effectLst/>
          </c:spPr>
          <c:invertIfNegative val="0"/>
          <c:cat>
            <c:strLit>
              <c:ptCount val="2"/>
              <c:pt idx="0">
                <c:v>Boomers</c:v>
              </c:pt>
              <c:pt idx="1">
                <c:v>Millennials</c:v>
              </c:pt>
            </c:strLit>
          </c:cat>
          <c:val>
            <c:numLit>
              <c:formatCode>General</c:formatCode>
              <c:ptCount val="2"/>
              <c:pt idx="0">
                <c:v>4.6986031610776764E-3</c:v>
              </c:pt>
              <c:pt idx="1">
                <c:v>3.1809990104964794E-3</c:v>
              </c:pt>
            </c:numLit>
          </c:val>
          <c:extLst>
            <c:ext xmlns:c16="http://schemas.microsoft.com/office/drawing/2014/chart" uri="{C3380CC4-5D6E-409C-BE32-E72D297353CC}">
              <c16:uniqueId val="{00000000-5BAD-487A-A2FA-EB8870D36C4A}"/>
            </c:ext>
          </c:extLst>
        </c:ser>
        <c:ser>
          <c:idx val="1"/>
          <c:order val="1"/>
          <c:tx>
            <c:v>EN</c:v>
          </c:tx>
          <c:spPr>
            <a:solidFill>
              <a:schemeClr val="accent2"/>
            </a:solidFill>
            <a:ln>
              <a:noFill/>
            </a:ln>
            <a:effectLst/>
          </c:spPr>
          <c:invertIfNegative val="0"/>
          <c:cat>
            <c:strLit>
              <c:ptCount val="2"/>
              <c:pt idx="0">
                <c:v>Boomers</c:v>
              </c:pt>
              <c:pt idx="1">
                <c:v>Millennials</c:v>
              </c:pt>
            </c:strLit>
          </c:cat>
          <c:val>
            <c:numLit>
              <c:formatCode>General</c:formatCode>
              <c:ptCount val="2"/>
              <c:pt idx="0">
                <c:v>4.4502314674183365E-3</c:v>
              </c:pt>
              <c:pt idx="1">
                <c:v>3.4475418406773677E-3</c:v>
              </c:pt>
            </c:numLit>
          </c:val>
          <c:extLst>
            <c:ext xmlns:c16="http://schemas.microsoft.com/office/drawing/2014/chart" uri="{C3380CC4-5D6E-409C-BE32-E72D297353CC}">
              <c16:uniqueId val="{00000001-5BAD-487A-A2FA-EB8870D36C4A}"/>
            </c:ext>
          </c:extLst>
        </c:ser>
        <c:dLbls>
          <c:showLegendKey val="0"/>
          <c:showVal val="0"/>
          <c:showCatName val="0"/>
          <c:showSerName val="0"/>
          <c:showPercent val="0"/>
          <c:showBubbleSize val="0"/>
        </c:dLbls>
        <c:gapWidth val="140"/>
        <c:overlap val="-30"/>
        <c:axId val="179379072"/>
        <c:axId val="179375232"/>
      </c:barChart>
      <c:catAx>
        <c:axId val="179379072"/>
        <c:scaling>
          <c:orientation val="maxMin"/>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Group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75232"/>
        <c:crosses val="autoZero"/>
        <c:auto val="1"/>
        <c:lblAlgn val="ctr"/>
        <c:lblOffset val="100"/>
        <c:noMultiLvlLbl val="0"/>
      </c:catAx>
      <c:valAx>
        <c:axId val="179375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CTR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79072"/>
        <c:crosses val="max"/>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Portfolio Project.xlsm]Extras!PivotTable7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'Market': </a:t>
            </a:r>
            <a:r>
              <a:rPr lang="en-US">
                <a:solidFill>
                  <a:srgbClr val="DD5A13"/>
                </a:solidFill>
              </a:rPr>
              <a:t>RIY</a:t>
            </a:r>
            <a:r>
              <a:rPr lang="en-US"/>
              <a:t> and </a:t>
            </a:r>
            <a:r>
              <a:rPr lang="en-US">
                <a:solidFill>
                  <a:srgbClr val="DD5A13"/>
                </a:solidFill>
              </a:rPr>
              <a:t>AE</a:t>
            </a:r>
            <a:r>
              <a:rPr lang="en-US"/>
              <a:t> have noticeably higher 'Amount spent (USD)'.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D2D2D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D7331"/>
          </a:solidFill>
          <a:ln>
            <a:noFill/>
          </a:ln>
          <a:effectLst/>
        </c:spPr>
      </c:pivotFmt>
      <c:pivotFmt>
        <c:idx val="2"/>
        <c:spPr>
          <a:solidFill>
            <a:srgbClr val="ED7331"/>
          </a:solidFill>
          <a:ln>
            <a:noFill/>
          </a:ln>
          <a:effectLst/>
        </c:spPr>
      </c:pivotFmt>
      <c:pivotFmt>
        <c:idx val="3"/>
        <c:spPr>
          <a:solidFill>
            <a:srgbClr val="D2D2D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ED7331"/>
          </a:solidFill>
          <a:ln>
            <a:noFill/>
          </a:ln>
          <a:effectLst/>
        </c:spPr>
      </c:pivotFmt>
      <c:pivotFmt>
        <c:idx val="5"/>
        <c:spPr>
          <a:solidFill>
            <a:srgbClr val="ED7331"/>
          </a:solidFill>
          <a:ln>
            <a:noFill/>
          </a:ln>
          <a:effectLst/>
        </c:spPr>
      </c:pivotFmt>
      <c:pivotFmt>
        <c:idx val="6"/>
        <c:spPr>
          <a:solidFill>
            <a:srgbClr val="D2D2D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ED7331"/>
          </a:solidFill>
          <a:ln>
            <a:noFill/>
          </a:ln>
          <a:effectLst/>
        </c:spPr>
      </c:pivotFmt>
      <c:pivotFmt>
        <c:idx val="8"/>
        <c:spPr>
          <a:solidFill>
            <a:srgbClr val="ED7331"/>
          </a:solidFill>
          <a:ln>
            <a:noFill/>
          </a:ln>
          <a:effectLst/>
        </c:spPr>
      </c:pivotFmt>
    </c:pivotFmts>
    <c:plotArea>
      <c:layout/>
      <c:barChart>
        <c:barDir val="bar"/>
        <c:grouping val="stacked"/>
        <c:varyColors val="0"/>
        <c:ser>
          <c:idx val="0"/>
          <c:order val="0"/>
          <c:tx>
            <c:strRef>
              <c:f>Extras!$B$18</c:f>
              <c:strCache>
                <c:ptCount val="1"/>
                <c:pt idx="0">
                  <c:v>Total</c:v>
                </c:pt>
              </c:strCache>
            </c:strRef>
          </c:tx>
          <c:spPr>
            <a:solidFill>
              <a:srgbClr val="D2D2D2"/>
            </a:solidFill>
            <a:ln>
              <a:noFill/>
            </a:ln>
            <a:effectLst/>
          </c:spPr>
          <c:invertIfNegative val="0"/>
          <c:dPt>
            <c:idx val="0"/>
            <c:invertIfNegative val="0"/>
            <c:bubble3D val="0"/>
            <c:spPr>
              <a:solidFill>
                <a:srgbClr val="ED7331"/>
              </a:solidFill>
              <a:ln>
                <a:noFill/>
              </a:ln>
              <a:effectLst/>
            </c:spPr>
            <c:extLst>
              <c:ext xmlns:c16="http://schemas.microsoft.com/office/drawing/2014/chart" uri="{C3380CC4-5D6E-409C-BE32-E72D297353CC}">
                <c16:uniqueId val="{00000001-CE15-41FA-B566-B7E085E3D386}"/>
              </c:ext>
            </c:extLst>
          </c:dPt>
          <c:dPt>
            <c:idx val="1"/>
            <c:invertIfNegative val="0"/>
            <c:bubble3D val="0"/>
            <c:spPr>
              <a:solidFill>
                <a:srgbClr val="ED7331"/>
              </a:solidFill>
              <a:ln>
                <a:noFill/>
              </a:ln>
              <a:effectLst/>
            </c:spPr>
            <c:extLst>
              <c:ext xmlns:c16="http://schemas.microsoft.com/office/drawing/2014/chart" uri="{C3380CC4-5D6E-409C-BE32-E72D297353CC}">
                <c16:uniqueId val="{00000003-CE15-41FA-B566-B7E085E3D386}"/>
              </c:ext>
            </c:extLst>
          </c:dPt>
          <c:cat>
            <c:strRef>
              <c:f>Extras!$A$19:$A$26</c:f>
              <c:strCache>
                <c:ptCount val="7"/>
                <c:pt idx="0">
                  <c:v>RIY</c:v>
                </c:pt>
                <c:pt idx="1">
                  <c:v>AE</c:v>
                </c:pt>
                <c:pt idx="2">
                  <c:v>JED</c:v>
                </c:pt>
                <c:pt idx="3">
                  <c:v>KW</c:v>
                </c:pt>
                <c:pt idx="4">
                  <c:v>QA</c:v>
                </c:pt>
                <c:pt idx="5">
                  <c:v>OM</c:v>
                </c:pt>
                <c:pt idx="6">
                  <c:v>BH</c:v>
                </c:pt>
              </c:strCache>
            </c:strRef>
          </c:cat>
          <c:val>
            <c:numRef>
              <c:f>Extras!$B$19:$B$26</c:f>
              <c:numCache>
                <c:formatCode>0.00</c:formatCode>
                <c:ptCount val="7"/>
                <c:pt idx="0">
                  <c:v>15580.709999999997</c:v>
                </c:pt>
                <c:pt idx="1">
                  <c:v>14692.649999999998</c:v>
                </c:pt>
                <c:pt idx="2">
                  <c:v>7397.1499999999978</c:v>
                </c:pt>
                <c:pt idx="3">
                  <c:v>6441.1399999999994</c:v>
                </c:pt>
                <c:pt idx="4">
                  <c:v>3808.1499999999983</c:v>
                </c:pt>
                <c:pt idx="5">
                  <c:v>2601.7000000000016</c:v>
                </c:pt>
                <c:pt idx="6">
                  <c:v>2592.0300000000007</c:v>
                </c:pt>
              </c:numCache>
            </c:numRef>
          </c:val>
          <c:extLst>
            <c:ext xmlns:c16="http://schemas.microsoft.com/office/drawing/2014/chart" uri="{C3380CC4-5D6E-409C-BE32-E72D297353CC}">
              <c16:uniqueId val="{00000004-CE15-41FA-B566-B7E085E3D386}"/>
            </c:ext>
          </c:extLst>
        </c:ser>
        <c:dLbls>
          <c:showLegendKey val="0"/>
          <c:showVal val="0"/>
          <c:showCatName val="0"/>
          <c:showSerName val="0"/>
          <c:showPercent val="0"/>
          <c:showBubbleSize val="0"/>
        </c:dLbls>
        <c:gapWidth val="33"/>
        <c:overlap val="100"/>
        <c:axId val="179377632"/>
        <c:axId val="179369472"/>
      </c:barChart>
      <c:catAx>
        <c:axId val="179377632"/>
        <c:scaling>
          <c:orientation val="maxMin"/>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Market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69472"/>
        <c:crosses val="autoZero"/>
        <c:auto val="1"/>
        <c:lblAlgn val="ctr"/>
        <c:lblOffset val="100"/>
        <c:noMultiLvlLbl val="0"/>
      </c:catAx>
      <c:valAx>
        <c:axId val="1793694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Amount spent (USD)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377632"/>
        <c:crosses val="max"/>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Portfolio Project.xlsm]Extras!PivotTable10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'CTR' by 'Age Group' and 'Language'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Extras!$B$37:$B$38</c:f>
              <c:strCache>
                <c:ptCount val="1"/>
                <c:pt idx="0">
                  <c:v>AR</c:v>
                </c:pt>
              </c:strCache>
            </c:strRef>
          </c:tx>
          <c:spPr>
            <a:solidFill>
              <a:schemeClr val="accent1"/>
            </a:solidFill>
            <a:ln>
              <a:noFill/>
            </a:ln>
            <a:effectLst/>
          </c:spPr>
          <c:invertIfNegative val="0"/>
          <c:cat>
            <c:strRef>
              <c:f>Extras!$A$39:$A$41</c:f>
              <c:strCache>
                <c:ptCount val="2"/>
                <c:pt idx="0">
                  <c:v>Boomers</c:v>
                </c:pt>
                <c:pt idx="1">
                  <c:v>Millennials</c:v>
                </c:pt>
              </c:strCache>
            </c:strRef>
          </c:cat>
          <c:val>
            <c:numRef>
              <c:f>Extras!$B$39:$B$41</c:f>
              <c:numCache>
                <c:formatCode>0.00%</c:formatCode>
                <c:ptCount val="2"/>
                <c:pt idx="0">
                  <c:v>1.3071428571428572E-3</c:v>
                </c:pt>
                <c:pt idx="1">
                  <c:v>7.8214285714285701E-4</c:v>
                </c:pt>
              </c:numCache>
            </c:numRef>
          </c:val>
          <c:extLst>
            <c:ext xmlns:c16="http://schemas.microsoft.com/office/drawing/2014/chart" uri="{C3380CC4-5D6E-409C-BE32-E72D297353CC}">
              <c16:uniqueId val="{00000000-06E7-4E9B-80D4-4A28A566E830}"/>
            </c:ext>
          </c:extLst>
        </c:ser>
        <c:ser>
          <c:idx val="1"/>
          <c:order val="1"/>
          <c:tx>
            <c:strRef>
              <c:f>Extras!$C$37:$C$38</c:f>
              <c:strCache>
                <c:ptCount val="1"/>
                <c:pt idx="0">
                  <c:v>EN</c:v>
                </c:pt>
              </c:strCache>
            </c:strRef>
          </c:tx>
          <c:spPr>
            <a:solidFill>
              <a:schemeClr val="accent2"/>
            </a:solidFill>
            <a:ln>
              <a:noFill/>
            </a:ln>
            <a:effectLst/>
          </c:spPr>
          <c:invertIfNegative val="0"/>
          <c:cat>
            <c:strRef>
              <c:f>Extras!$A$39:$A$41</c:f>
              <c:strCache>
                <c:ptCount val="2"/>
                <c:pt idx="0">
                  <c:v>Boomers</c:v>
                </c:pt>
                <c:pt idx="1">
                  <c:v>Millennials</c:v>
                </c:pt>
              </c:strCache>
            </c:strRef>
          </c:cat>
          <c:val>
            <c:numRef>
              <c:f>Extras!$C$39:$C$41</c:f>
              <c:numCache>
                <c:formatCode>0.00%</c:formatCode>
                <c:ptCount val="2"/>
                <c:pt idx="0">
                  <c:v>1.225E-3</c:v>
                </c:pt>
                <c:pt idx="1">
                  <c:v>8.1818181818181827E-4</c:v>
                </c:pt>
              </c:numCache>
            </c:numRef>
          </c:val>
          <c:extLst>
            <c:ext xmlns:c16="http://schemas.microsoft.com/office/drawing/2014/chart" uri="{C3380CC4-5D6E-409C-BE32-E72D297353CC}">
              <c16:uniqueId val="{00000001-06E7-4E9B-80D4-4A28A566E830}"/>
            </c:ext>
          </c:extLst>
        </c:ser>
        <c:dLbls>
          <c:showLegendKey val="0"/>
          <c:showVal val="0"/>
          <c:showCatName val="0"/>
          <c:showSerName val="0"/>
          <c:showPercent val="0"/>
          <c:showBubbleSize val="0"/>
        </c:dLbls>
        <c:gapWidth val="140"/>
        <c:overlap val="-30"/>
        <c:axId val="179400672"/>
        <c:axId val="179401632"/>
      </c:barChart>
      <c:catAx>
        <c:axId val="179400672"/>
        <c:scaling>
          <c:orientation val="maxMin"/>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 Group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01632"/>
        <c:crosses val="autoZero"/>
        <c:auto val="1"/>
        <c:lblAlgn val="ctr"/>
        <c:lblOffset val="100"/>
        <c:noMultiLvlLbl val="0"/>
      </c:catAx>
      <c:valAx>
        <c:axId val="1794016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CTR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00672"/>
        <c:crosses val="max"/>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Portfolio Project.xlsm]Extras!PivotTable11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'Market': </a:t>
            </a:r>
            <a:r>
              <a:rPr lang="en-US">
                <a:solidFill>
                  <a:srgbClr val="DD5A13"/>
                </a:solidFill>
              </a:rPr>
              <a:t>RIY</a:t>
            </a:r>
            <a:r>
              <a:rPr lang="en-US"/>
              <a:t> has noticeably higher 'Amount spent (USD)'.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D2D2D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D7331"/>
          </a:solidFill>
          <a:ln>
            <a:noFill/>
          </a:ln>
          <a:effectLst/>
        </c:spPr>
      </c:pivotFmt>
      <c:pivotFmt>
        <c:idx val="2"/>
        <c:spPr>
          <a:solidFill>
            <a:srgbClr val="D2D2D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ED7331"/>
          </a:solidFill>
          <a:ln>
            <a:noFill/>
          </a:ln>
          <a:effectLst/>
        </c:spPr>
      </c:pivotFmt>
      <c:pivotFmt>
        <c:idx val="4"/>
        <c:spPr>
          <a:solidFill>
            <a:srgbClr val="D2D2D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D7331"/>
          </a:solidFill>
          <a:ln>
            <a:noFill/>
          </a:ln>
          <a:effectLst/>
        </c:spPr>
      </c:pivotFmt>
    </c:pivotFmts>
    <c:plotArea>
      <c:layout/>
      <c:barChart>
        <c:barDir val="bar"/>
        <c:grouping val="clustered"/>
        <c:varyColors val="0"/>
        <c:ser>
          <c:idx val="0"/>
          <c:order val="0"/>
          <c:tx>
            <c:strRef>
              <c:f>Extras!$B$43</c:f>
              <c:strCache>
                <c:ptCount val="1"/>
                <c:pt idx="0">
                  <c:v>Total</c:v>
                </c:pt>
              </c:strCache>
            </c:strRef>
          </c:tx>
          <c:spPr>
            <a:solidFill>
              <a:srgbClr val="D2D2D2"/>
            </a:solidFill>
            <a:ln>
              <a:noFill/>
            </a:ln>
            <a:effectLst/>
          </c:spPr>
          <c:invertIfNegative val="0"/>
          <c:dPt>
            <c:idx val="0"/>
            <c:invertIfNegative val="0"/>
            <c:bubble3D val="0"/>
            <c:spPr>
              <a:solidFill>
                <a:srgbClr val="ED7331"/>
              </a:solidFill>
              <a:ln>
                <a:noFill/>
              </a:ln>
              <a:effectLst/>
            </c:spPr>
            <c:extLst>
              <c:ext xmlns:c16="http://schemas.microsoft.com/office/drawing/2014/chart" uri="{C3380CC4-5D6E-409C-BE32-E72D297353CC}">
                <c16:uniqueId val="{00000001-A45B-4AD6-82D5-F867E85F17D8}"/>
              </c:ext>
            </c:extLst>
          </c:dPt>
          <c:cat>
            <c:strRef>
              <c:f>Extras!$A$44:$A$51</c:f>
              <c:strCache>
                <c:ptCount val="7"/>
                <c:pt idx="0">
                  <c:v>RIY</c:v>
                </c:pt>
                <c:pt idx="1">
                  <c:v>AE</c:v>
                </c:pt>
                <c:pt idx="2">
                  <c:v>JED</c:v>
                </c:pt>
                <c:pt idx="3">
                  <c:v>KWT</c:v>
                </c:pt>
                <c:pt idx="4">
                  <c:v>QAT</c:v>
                </c:pt>
                <c:pt idx="5">
                  <c:v>OMA</c:v>
                </c:pt>
                <c:pt idx="6">
                  <c:v>BAH</c:v>
                </c:pt>
              </c:strCache>
            </c:strRef>
          </c:cat>
          <c:val>
            <c:numRef>
              <c:f>Extras!$B$44:$B$51</c:f>
              <c:numCache>
                <c:formatCode>0.00</c:formatCode>
                <c:ptCount val="7"/>
                <c:pt idx="0">
                  <c:v>20588.279999999995</c:v>
                </c:pt>
                <c:pt idx="1">
                  <c:v>11788.130000000003</c:v>
                </c:pt>
                <c:pt idx="2">
                  <c:v>9672.0000000000018</c:v>
                </c:pt>
                <c:pt idx="3">
                  <c:v>4955.0300000000016</c:v>
                </c:pt>
                <c:pt idx="4">
                  <c:v>3130.51</c:v>
                </c:pt>
                <c:pt idx="5">
                  <c:v>1031.32</c:v>
                </c:pt>
                <c:pt idx="6">
                  <c:v>1027.3</c:v>
                </c:pt>
              </c:numCache>
            </c:numRef>
          </c:val>
          <c:extLst>
            <c:ext xmlns:c16="http://schemas.microsoft.com/office/drawing/2014/chart" uri="{C3380CC4-5D6E-409C-BE32-E72D297353CC}">
              <c16:uniqueId val="{00000002-A45B-4AD6-82D5-F867E85F17D8}"/>
            </c:ext>
          </c:extLst>
        </c:ser>
        <c:dLbls>
          <c:showLegendKey val="0"/>
          <c:showVal val="0"/>
          <c:showCatName val="0"/>
          <c:showSerName val="0"/>
          <c:showPercent val="0"/>
          <c:showBubbleSize val="0"/>
        </c:dLbls>
        <c:gapWidth val="33"/>
        <c:overlap val="-30"/>
        <c:axId val="179402592"/>
        <c:axId val="179419392"/>
      </c:barChart>
      <c:catAx>
        <c:axId val="179402592"/>
        <c:scaling>
          <c:orientation val="maxMin"/>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Market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19392"/>
        <c:crosses val="autoZero"/>
        <c:auto val="1"/>
        <c:lblAlgn val="ctr"/>
        <c:lblOffset val="100"/>
        <c:noMultiLvlLbl val="0"/>
      </c:catAx>
      <c:valAx>
        <c:axId val="17941939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Amount spent (USD)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402592"/>
        <c:crosses val="max"/>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Portfolio Project.xlsm]Extras!PivotTable6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 Group': </a:t>
            </a:r>
            <a:r>
              <a:rPr lang="en-US">
                <a:solidFill>
                  <a:srgbClr val="DD5A13"/>
                </a:solidFill>
              </a:rPr>
              <a:t>Millennials</a:t>
            </a:r>
            <a:r>
              <a:rPr lang="en-US"/>
              <a:t> accounts for the majority of </a:t>
            </a:r>
            <a:r>
              <a:rPr lang="en-US" b="1">
                <a:solidFill>
                  <a:srgbClr val="FF0000"/>
                </a:solidFill>
              </a:rPr>
              <a:t>'Clicks</a:t>
            </a:r>
            <a:r>
              <a:rPr lang="en-US"/>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D2D2D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D7331"/>
          </a:solidFill>
          <a:ln w="19050">
            <a:solidFill>
              <a:schemeClr val="lt1"/>
            </a:solidFill>
          </a:ln>
          <a:effectLst/>
        </c:spPr>
      </c:pivotFmt>
      <c:pivotFmt>
        <c:idx val="2"/>
        <c:spPr>
          <a:solidFill>
            <a:srgbClr val="D2D2D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ED7331"/>
          </a:solidFill>
          <a:ln w="19050">
            <a:solidFill>
              <a:schemeClr val="lt1"/>
            </a:solidFill>
          </a:ln>
          <a:effectLst/>
        </c:spPr>
      </c:pivotFmt>
      <c:pivotFmt>
        <c:idx val="4"/>
        <c:spPr>
          <a:solidFill>
            <a:srgbClr val="D2D2D2"/>
          </a:solidFill>
          <a:ln w="19050">
            <a:solidFill>
              <a:schemeClr val="lt1"/>
            </a:solidFill>
          </a:ln>
          <a:effectLst/>
        </c:spPr>
      </c:pivotFmt>
      <c:pivotFmt>
        <c:idx val="5"/>
        <c:spPr>
          <a:solidFill>
            <a:srgbClr val="D2D2D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ED7331"/>
          </a:solidFill>
          <a:ln w="19050">
            <a:solidFill>
              <a:schemeClr val="lt1"/>
            </a:solidFill>
          </a:ln>
          <a:effectLst/>
        </c:spPr>
      </c:pivotFmt>
      <c:pivotFmt>
        <c:idx val="7"/>
        <c:spPr>
          <a:solidFill>
            <a:srgbClr val="D2D2D2"/>
          </a:solidFill>
          <a:ln w="19050">
            <a:solidFill>
              <a:schemeClr val="lt1"/>
            </a:solidFill>
          </a:ln>
          <a:effectLst/>
        </c:spPr>
      </c:pivotFmt>
    </c:pivotFmts>
    <c:plotArea>
      <c:layout/>
      <c:doughnutChart>
        <c:varyColors val="1"/>
        <c:ser>
          <c:idx val="0"/>
          <c:order val="0"/>
          <c:tx>
            <c:strRef>
              <c:f>Extras!$B$71</c:f>
              <c:strCache>
                <c:ptCount val="1"/>
                <c:pt idx="0">
                  <c:v>Total</c:v>
                </c:pt>
              </c:strCache>
            </c:strRef>
          </c:tx>
          <c:spPr>
            <a:solidFill>
              <a:srgbClr val="D2D2D2"/>
            </a:solidFill>
          </c:spPr>
          <c:dPt>
            <c:idx val="0"/>
            <c:bubble3D val="0"/>
            <c:spPr>
              <a:solidFill>
                <a:srgbClr val="ED7331"/>
              </a:solidFill>
              <a:ln w="19050">
                <a:solidFill>
                  <a:schemeClr val="lt1"/>
                </a:solidFill>
              </a:ln>
              <a:effectLst/>
            </c:spPr>
            <c:extLst>
              <c:ext xmlns:c16="http://schemas.microsoft.com/office/drawing/2014/chart" uri="{C3380CC4-5D6E-409C-BE32-E72D297353CC}">
                <c16:uniqueId val="{00000001-38C3-423E-B535-1202116EFF0A}"/>
              </c:ext>
            </c:extLst>
          </c:dPt>
          <c:dPt>
            <c:idx val="1"/>
            <c:bubble3D val="0"/>
            <c:spPr>
              <a:solidFill>
                <a:srgbClr val="D2D2D2"/>
              </a:solidFill>
              <a:ln w="19050">
                <a:solidFill>
                  <a:schemeClr val="lt1"/>
                </a:solidFill>
              </a:ln>
              <a:effectLst/>
            </c:spPr>
            <c:extLst>
              <c:ext xmlns:c16="http://schemas.microsoft.com/office/drawing/2014/chart" uri="{C3380CC4-5D6E-409C-BE32-E72D297353CC}">
                <c16:uniqueId val="{00000003-38C3-423E-B535-1202116EFF0A}"/>
              </c:ext>
            </c:extLst>
          </c:dPt>
          <c:cat>
            <c:strRef>
              <c:f>Extras!$A$72:$A$74</c:f>
              <c:strCache>
                <c:ptCount val="2"/>
                <c:pt idx="0">
                  <c:v>Millennials</c:v>
                </c:pt>
                <c:pt idx="1">
                  <c:v>Boomers</c:v>
                </c:pt>
              </c:strCache>
            </c:strRef>
          </c:cat>
          <c:val>
            <c:numRef>
              <c:f>Extras!$B$72:$B$74</c:f>
              <c:numCache>
                <c:formatCode>0</c:formatCode>
                <c:ptCount val="2"/>
                <c:pt idx="0">
                  <c:v>46829</c:v>
                </c:pt>
                <c:pt idx="1">
                  <c:v>7965</c:v>
                </c:pt>
              </c:numCache>
            </c:numRef>
          </c:val>
          <c:extLst>
            <c:ext xmlns:c16="http://schemas.microsoft.com/office/drawing/2014/chart" uri="{C3380CC4-5D6E-409C-BE32-E72D297353CC}">
              <c16:uniqueId val="{00000004-38C3-423E-B535-1202116EFF0A}"/>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Portfolio Project.xlsm]Extras!PivotTable8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'Age Group': </a:t>
            </a:r>
            <a:r>
              <a:rPr lang="en-US">
                <a:solidFill>
                  <a:srgbClr val="DD5A13"/>
                </a:solidFill>
              </a:rPr>
              <a:t>Millennials</a:t>
            </a:r>
            <a:r>
              <a:rPr lang="en-US"/>
              <a:t> accounts for the majority of </a:t>
            </a:r>
            <a:r>
              <a:rPr lang="en-US" b="1">
                <a:solidFill>
                  <a:srgbClr val="FF0000"/>
                </a:solidFill>
              </a:rPr>
              <a:t>'Video Completions'.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D2D2D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D7331"/>
          </a:solidFill>
          <a:ln w="19050">
            <a:solidFill>
              <a:schemeClr val="lt1"/>
            </a:solidFill>
          </a:ln>
          <a:effectLst/>
        </c:spPr>
      </c:pivotFmt>
      <c:pivotFmt>
        <c:idx val="2"/>
        <c:spPr>
          <a:solidFill>
            <a:srgbClr val="D2D2D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ED7331"/>
          </a:solidFill>
          <a:ln w="19050">
            <a:solidFill>
              <a:schemeClr val="lt1"/>
            </a:solidFill>
          </a:ln>
          <a:effectLst/>
        </c:spPr>
      </c:pivotFmt>
      <c:pivotFmt>
        <c:idx val="4"/>
        <c:spPr>
          <a:solidFill>
            <a:srgbClr val="D2D2D2"/>
          </a:solidFill>
          <a:ln w="19050">
            <a:solidFill>
              <a:schemeClr val="lt1"/>
            </a:solidFill>
          </a:ln>
          <a:effectLst/>
        </c:spPr>
      </c:pivotFmt>
      <c:pivotFmt>
        <c:idx val="5"/>
        <c:spPr>
          <a:solidFill>
            <a:srgbClr val="D2D2D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ED7331"/>
          </a:solidFill>
          <a:ln w="19050">
            <a:solidFill>
              <a:schemeClr val="lt1"/>
            </a:solidFill>
          </a:ln>
          <a:effectLst/>
        </c:spPr>
      </c:pivotFmt>
      <c:pivotFmt>
        <c:idx val="7"/>
        <c:spPr>
          <a:solidFill>
            <a:srgbClr val="D2D2D2"/>
          </a:solidFill>
          <a:ln w="19050">
            <a:solidFill>
              <a:schemeClr val="lt1"/>
            </a:solidFill>
          </a:ln>
          <a:effectLst/>
        </c:spPr>
      </c:pivotFmt>
    </c:pivotFmts>
    <c:plotArea>
      <c:layout/>
      <c:doughnutChart>
        <c:varyColors val="1"/>
        <c:ser>
          <c:idx val="0"/>
          <c:order val="0"/>
          <c:tx>
            <c:strRef>
              <c:f>Extras!$B$76</c:f>
              <c:strCache>
                <c:ptCount val="1"/>
                <c:pt idx="0">
                  <c:v>Total</c:v>
                </c:pt>
              </c:strCache>
            </c:strRef>
          </c:tx>
          <c:spPr>
            <a:solidFill>
              <a:srgbClr val="D2D2D2"/>
            </a:solidFill>
          </c:spPr>
          <c:dPt>
            <c:idx val="0"/>
            <c:bubble3D val="0"/>
            <c:spPr>
              <a:solidFill>
                <a:srgbClr val="ED7331"/>
              </a:solidFill>
              <a:ln w="19050">
                <a:solidFill>
                  <a:schemeClr val="lt1"/>
                </a:solidFill>
              </a:ln>
              <a:effectLst/>
            </c:spPr>
            <c:extLst>
              <c:ext xmlns:c16="http://schemas.microsoft.com/office/drawing/2014/chart" uri="{C3380CC4-5D6E-409C-BE32-E72D297353CC}">
                <c16:uniqueId val="{00000001-6B9E-4EF5-A46F-99107981AED7}"/>
              </c:ext>
            </c:extLst>
          </c:dPt>
          <c:dPt>
            <c:idx val="1"/>
            <c:bubble3D val="0"/>
            <c:spPr>
              <a:solidFill>
                <a:srgbClr val="D2D2D2"/>
              </a:solidFill>
              <a:ln w="19050">
                <a:solidFill>
                  <a:schemeClr val="lt1"/>
                </a:solidFill>
              </a:ln>
              <a:effectLst/>
            </c:spPr>
            <c:extLst>
              <c:ext xmlns:c16="http://schemas.microsoft.com/office/drawing/2014/chart" uri="{C3380CC4-5D6E-409C-BE32-E72D297353CC}">
                <c16:uniqueId val="{00000003-6B9E-4EF5-A46F-99107981AED7}"/>
              </c:ext>
            </c:extLst>
          </c:dPt>
          <c:cat>
            <c:strRef>
              <c:f>Extras!$A$77:$A$79</c:f>
              <c:strCache>
                <c:ptCount val="2"/>
                <c:pt idx="0">
                  <c:v>Millennials</c:v>
                </c:pt>
                <c:pt idx="1">
                  <c:v>Boomers</c:v>
                </c:pt>
              </c:strCache>
            </c:strRef>
          </c:cat>
          <c:val>
            <c:numRef>
              <c:f>Extras!$B$77:$B$79</c:f>
              <c:numCache>
                <c:formatCode>0</c:formatCode>
                <c:ptCount val="2"/>
                <c:pt idx="0">
                  <c:v>49309</c:v>
                </c:pt>
                <c:pt idx="1">
                  <c:v>6750</c:v>
                </c:pt>
              </c:numCache>
            </c:numRef>
          </c:val>
          <c:extLst>
            <c:ext xmlns:c16="http://schemas.microsoft.com/office/drawing/2014/chart" uri="{C3380CC4-5D6E-409C-BE32-E72D297353CC}">
              <c16:uniqueId val="{00000004-6B9E-4EF5-A46F-99107981AED7}"/>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197348</xdr:colOff>
      <xdr:row>6</xdr:row>
      <xdr:rowOff>25194</xdr:rowOff>
    </xdr:from>
    <xdr:to>
      <xdr:col>3</xdr:col>
      <xdr:colOff>1440656</xdr:colOff>
      <xdr:row>17</xdr:row>
      <xdr:rowOff>154781</xdr:rowOff>
    </xdr:to>
    <xdr:graphicFrame macro="">
      <xdr:nvGraphicFramePr>
        <xdr:cNvPr id="2" name="Chart 1">
          <a:extLst>
            <a:ext uri="{FF2B5EF4-FFF2-40B4-BE49-F238E27FC236}">
              <a16:creationId xmlns:a16="http://schemas.microsoft.com/office/drawing/2014/main" id="{B2A35E67-1D20-2C3A-AA19-AA3123FA19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26658</xdr:colOff>
      <xdr:row>5</xdr:row>
      <xdr:rowOff>185445</xdr:rowOff>
    </xdr:from>
    <xdr:to>
      <xdr:col>6</xdr:col>
      <xdr:colOff>1273967</xdr:colOff>
      <xdr:row>20</xdr:row>
      <xdr:rowOff>119062</xdr:rowOff>
    </xdr:to>
    <xdr:graphicFrame macro="">
      <xdr:nvGraphicFramePr>
        <xdr:cNvPr id="5" name="Chart 4">
          <a:extLst>
            <a:ext uri="{FF2B5EF4-FFF2-40B4-BE49-F238E27FC236}">
              <a16:creationId xmlns:a16="http://schemas.microsoft.com/office/drawing/2014/main" id="{1A7B391C-8D23-42D1-E861-627BAFDB69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73453</xdr:colOff>
      <xdr:row>21</xdr:row>
      <xdr:rowOff>107155</xdr:rowOff>
    </xdr:from>
    <xdr:to>
      <xdr:col>6</xdr:col>
      <xdr:colOff>1262062</xdr:colOff>
      <xdr:row>33</xdr:row>
      <xdr:rowOff>83342</xdr:rowOff>
    </xdr:to>
    <xdr:graphicFrame macro="">
      <xdr:nvGraphicFramePr>
        <xdr:cNvPr id="8" name="Chart 7">
          <a:extLst>
            <a:ext uri="{FF2B5EF4-FFF2-40B4-BE49-F238E27FC236}">
              <a16:creationId xmlns:a16="http://schemas.microsoft.com/office/drawing/2014/main" id="{2B8B88B5-1F68-18DC-9222-40B3C6430E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168687</xdr:colOff>
      <xdr:row>18</xdr:row>
      <xdr:rowOff>87746</xdr:rowOff>
    </xdr:from>
    <xdr:to>
      <xdr:col>3</xdr:col>
      <xdr:colOff>1430749</xdr:colOff>
      <xdr:row>33</xdr:row>
      <xdr:rowOff>107155</xdr:rowOff>
    </xdr:to>
    <xdr:graphicFrame macro="">
      <xdr:nvGraphicFramePr>
        <xdr:cNvPr id="10" name="Chart 9">
          <a:extLst>
            <a:ext uri="{FF2B5EF4-FFF2-40B4-BE49-F238E27FC236}">
              <a16:creationId xmlns:a16="http://schemas.microsoft.com/office/drawing/2014/main" id="{138C21A8-9A02-FD28-A36C-D0B618D9D0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1339453</xdr:colOff>
      <xdr:row>6</xdr:row>
      <xdr:rowOff>15475</xdr:rowOff>
    </xdr:from>
    <xdr:to>
      <xdr:col>13</xdr:col>
      <xdr:colOff>488156</xdr:colOff>
      <xdr:row>33</xdr:row>
      <xdr:rowOff>47624</xdr:rowOff>
    </xdr:to>
    <xdr:graphicFrame macro="">
      <xdr:nvGraphicFramePr>
        <xdr:cNvPr id="16" name="Chart 15">
          <a:extLst>
            <a:ext uri="{FF2B5EF4-FFF2-40B4-BE49-F238E27FC236}">
              <a16:creationId xmlns:a16="http://schemas.microsoft.com/office/drawing/2014/main" id="{1B3B047B-9801-651A-9697-B821E08FDA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1</xdr:row>
      <xdr:rowOff>8283</xdr:rowOff>
    </xdr:from>
    <xdr:to>
      <xdr:col>13</xdr:col>
      <xdr:colOff>8283</xdr:colOff>
      <xdr:row>4</xdr:row>
      <xdr:rowOff>24847</xdr:rowOff>
    </xdr:to>
    <xdr:sp macro="[0]!CondFormatting" textlink="">
      <xdr:nvSpPr>
        <xdr:cNvPr id="3" name="Rectangle: Rounded Corners 2">
          <a:extLst>
            <a:ext uri="{FF2B5EF4-FFF2-40B4-BE49-F238E27FC236}">
              <a16:creationId xmlns:a16="http://schemas.microsoft.com/office/drawing/2014/main" id="{824C454A-BE90-838A-4BF7-989D86C62CC9}"/>
            </a:ext>
          </a:extLst>
        </xdr:cNvPr>
        <xdr:cNvSpPr/>
      </xdr:nvSpPr>
      <xdr:spPr>
        <a:xfrm>
          <a:off x="12548152" y="1333500"/>
          <a:ext cx="2459935" cy="136663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scene3d>
            <a:camera prst="orthographicFront"/>
            <a:lightRig rig="soft" dir="t">
              <a:rot lat="0" lon="0" rev="15600000"/>
            </a:lightRig>
          </a:scene3d>
          <a:sp3d extrusionH="57150" prstMaterial="softEdge">
            <a:bevelT w="25400" h="38100"/>
          </a:sp3d>
        </a:bodyPr>
        <a:lstStyle/>
        <a:p>
          <a:pPr algn="ctr"/>
          <a:r>
            <a:rPr lang="en-US" sz="4800" b="1" cap="none" spc="0">
              <a:ln/>
              <a:solidFill>
                <a:schemeClr val="accent4"/>
              </a:solidFill>
              <a:effectLst/>
            </a:rPr>
            <a:t>Refresh</a:t>
          </a:r>
        </a:p>
        <a:p>
          <a:pPr algn="ctr"/>
          <a:r>
            <a:rPr lang="en-US" sz="2000" b="1" cap="none" spc="0">
              <a:ln/>
              <a:solidFill>
                <a:schemeClr val="accent4"/>
              </a:solidFill>
              <a:effectLst/>
            </a:rPr>
            <a:t>ctrl+w</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142875</xdr:colOff>
      <xdr:row>3</xdr:row>
      <xdr:rowOff>28575</xdr:rowOff>
    </xdr:from>
    <xdr:to>
      <xdr:col>16</xdr:col>
      <xdr:colOff>352425</xdr:colOff>
      <xdr:row>15</xdr:row>
      <xdr:rowOff>133350</xdr:rowOff>
    </xdr:to>
    <xdr:graphicFrame macro="">
      <xdr:nvGraphicFramePr>
        <xdr:cNvPr id="2" name="Chart 1" descr="Chart type: Clustered Bar. 'CTR' by 'Age Group' and 'Language'&#10;&#10;Description automatically generated">
          <a:extLst>
            <a:ext uri="{FF2B5EF4-FFF2-40B4-BE49-F238E27FC236}">
              <a16:creationId xmlns:a16="http://schemas.microsoft.com/office/drawing/2014/main" id="{9B51BAB8-1C17-4A50-95AD-FC264C006B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133350</xdr:colOff>
      <xdr:row>16</xdr:row>
      <xdr:rowOff>47625</xdr:rowOff>
    </xdr:from>
    <xdr:to>
      <xdr:col>16</xdr:col>
      <xdr:colOff>342900</xdr:colOff>
      <xdr:row>30</xdr:row>
      <xdr:rowOff>142875</xdr:rowOff>
    </xdr:to>
    <xdr:graphicFrame macro="">
      <xdr:nvGraphicFramePr>
        <xdr:cNvPr id="3" name="Chart 2" descr="Chart type: Stacked Bar. 'Market': RIY and AE have noticeably higher 'Amount spent (USD)'.&#10;&#10;Description automatically generated">
          <a:extLst>
            <a:ext uri="{FF2B5EF4-FFF2-40B4-BE49-F238E27FC236}">
              <a16:creationId xmlns:a16="http://schemas.microsoft.com/office/drawing/2014/main" id="{FE5D3649-9153-4B2F-A22D-A28363D643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136072</xdr:colOff>
      <xdr:row>34</xdr:row>
      <xdr:rowOff>160810</xdr:rowOff>
    </xdr:from>
    <xdr:to>
      <xdr:col>16</xdr:col>
      <xdr:colOff>371104</xdr:colOff>
      <xdr:row>49</xdr:row>
      <xdr:rowOff>74219</xdr:rowOff>
    </xdr:to>
    <xdr:graphicFrame macro="">
      <xdr:nvGraphicFramePr>
        <xdr:cNvPr id="4" name="Chart 3" descr="Chart type: Clustered Bar. 'CTR' by 'Age Group' and 'Language'&#10;&#10;Description automatically generated">
          <a:extLst>
            <a:ext uri="{FF2B5EF4-FFF2-40B4-BE49-F238E27FC236}">
              <a16:creationId xmlns:a16="http://schemas.microsoft.com/office/drawing/2014/main" id="{EB2197F7-36B9-48F6-92BF-6D1BCD1060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154781</xdr:colOff>
      <xdr:row>50</xdr:row>
      <xdr:rowOff>47625</xdr:rowOff>
    </xdr:from>
    <xdr:to>
      <xdr:col>16</xdr:col>
      <xdr:colOff>357187</xdr:colOff>
      <xdr:row>64</xdr:row>
      <xdr:rowOff>130969</xdr:rowOff>
    </xdr:to>
    <xdr:graphicFrame macro="">
      <xdr:nvGraphicFramePr>
        <xdr:cNvPr id="5" name="Chart 4" descr="Chart type: Clustered Bar. 'Market': RIY has noticeably higher 'Amount spent (USD)'.&#10;&#10;Description automatically generated">
          <a:extLst>
            <a:ext uri="{FF2B5EF4-FFF2-40B4-BE49-F238E27FC236}">
              <a16:creationId xmlns:a16="http://schemas.microsoft.com/office/drawing/2014/main" id="{C92502DF-5E8B-4164-9389-68D3556268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166687</xdr:colOff>
      <xdr:row>68</xdr:row>
      <xdr:rowOff>107157</xdr:rowOff>
    </xdr:from>
    <xdr:to>
      <xdr:col>16</xdr:col>
      <xdr:colOff>321468</xdr:colOff>
      <xdr:row>82</xdr:row>
      <xdr:rowOff>142875</xdr:rowOff>
    </xdr:to>
    <xdr:graphicFrame macro="">
      <xdr:nvGraphicFramePr>
        <xdr:cNvPr id="6" name="Chart 5" descr="Chart type: Doughnut. 'Age Group': Millennials accounts for the majority of 'Clicks'.&#10;&#10;Description automatically generated">
          <a:extLst>
            <a:ext uri="{FF2B5EF4-FFF2-40B4-BE49-F238E27FC236}">
              <a16:creationId xmlns:a16="http://schemas.microsoft.com/office/drawing/2014/main" id="{44ACD4EA-7F7A-49A0-AA5A-83B116B224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166687</xdr:colOff>
      <xdr:row>83</xdr:row>
      <xdr:rowOff>47625</xdr:rowOff>
    </xdr:from>
    <xdr:to>
      <xdr:col>16</xdr:col>
      <xdr:colOff>297656</xdr:colOff>
      <xdr:row>97</xdr:row>
      <xdr:rowOff>83344</xdr:rowOff>
    </xdr:to>
    <xdr:graphicFrame macro="">
      <xdr:nvGraphicFramePr>
        <xdr:cNvPr id="7" name="Chart 6" descr="Chart type: Doughnut. 'Age Group': Millennials accounts for the majority of 'Video Completions'.&#10;&#10;Description automatically generated">
          <a:extLst>
            <a:ext uri="{FF2B5EF4-FFF2-40B4-BE49-F238E27FC236}">
              <a16:creationId xmlns:a16="http://schemas.microsoft.com/office/drawing/2014/main" id="{CA074D0C-61CF-4FD4-B4CD-9847F15C70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timah Chaudary" refreshedDate="45543.857537152777" createdVersion="8" refreshedVersion="8" minRefreshableVersion="3" recordCount="72" xr:uid="{BC1063AF-6300-4CC5-91C7-F38162659423}">
  <cacheSource type="worksheet">
    <worksheetSource ref="A1:U73" sheet="Tiktok - Data"/>
  </cacheSource>
  <cacheFields count="19">
    <cacheField name="Market" numFmtId="0">
      <sharedItems/>
    </cacheField>
    <cacheField name="Campaign Name" numFmtId="0">
      <sharedItems count="8">
        <s v="FBIG_MK~RIY_TG"/>
        <s v="Tiktok_MK~RIY_TG"/>
        <s v="Tiktok_MK~QAT_TG"/>
        <s v="Tiktok_MK~OMA_TG"/>
        <s v="Tiktok_MK~KWT_TG"/>
        <s v="Tiktok_MK~JED_TG"/>
        <s v="Tiktok_MK~BAH_TG"/>
        <s v="Tiktok_MK~AE_TG"/>
      </sharedItems>
    </cacheField>
    <cacheField name="Audience" numFmtId="0">
      <sharedItems/>
    </cacheField>
    <cacheField name="Language " numFmtId="0">
      <sharedItems/>
    </cacheField>
    <cacheField name="Format" numFmtId="0">
      <sharedItems/>
    </cacheField>
    <cacheField name="Creative Variation" numFmtId="0">
      <sharedItems/>
    </cacheField>
    <cacheField name="Amount Spent" numFmtId="2">
      <sharedItems containsSemiMixedTypes="0" containsString="0" containsNumber="1" minValue="5.79" maxValue="6640.06"/>
    </cacheField>
    <cacheField name="Clicks" numFmtId="1">
      <sharedItems containsSemiMixedTypes="0" containsString="0" containsNumber="1" containsInteger="1" minValue="0" maxValue="11347"/>
    </cacheField>
    <cacheField name="Paid Reach" numFmtId="1">
      <sharedItems containsSemiMixedTypes="0" containsString="0" containsNumber="1" containsInteger="1" minValue="1219" maxValue="3064506"/>
    </cacheField>
    <cacheField name="Total Impressions" numFmtId="1">
      <sharedItems containsSemiMixedTypes="0" containsString="0" containsNumber="1" containsInteger="1" minValue="1488" maxValue="5201668"/>
    </cacheField>
    <cacheField name="CTR" numFmtId="165">
      <sharedItems containsSemiMixedTypes="0" containsString="0" containsNumber="1" minValue="0" maxValue="3.7000000000000002E-3"/>
    </cacheField>
    <cacheField name="CPM" numFmtId="2">
      <sharedItems containsSemiMixedTypes="0" containsString="0" containsNumber="1" minValue="0.26" maxValue="7.85"/>
    </cacheField>
    <cacheField name="2 Second Video Views" numFmtId="1">
      <sharedItems containsSemiMixedTypes="0" containsString="0" containsNumber="1" containsInteger="1" minValue="242" maxValue="676057"/>
    </cacheField>
    <cacheField name="Video Completions" numFmtId="1">
      <sharedItems containsSemiMixedTypes="0" containsString="0" containsNumber="1" containsInteger="1" minValue="2" maxValue="13332"/>
    </cacheField>
    <cacheField name="VTR (2 Sec)" numFmtId="167">
      <sharedItems containsSemiMixedTypes="0" containsString="0" containsNumber="1" minValue="7.6207352891957195E-2" maxValue="0.22953884503531366"/>
    </cacheField>
    <cacheField name="VTR (Complete)" numFmtId="166">
      <sharedItems containsSemiMixedTypes="0" containsString="0" containsNumber="1" minValue="7.8773729199059788E-4" maxValue="9.247027741083224E-3"/>
    </cacheField>
    <cacheField name="Total Engagement" numFmtId="1">
      <sharedItems containsSemiMixedTypes="0" containsString="0" containsNumber="1" containsInteger="1" minValue="7" maxValue="30892"/>
    </cacheField>
    <cacheField name="Engagement Rate" numFmtId="165">
      <sharedItems containsSemiMixedTypes="0" containsString="0" containsNumber="1" minValue="8.9999999999999998E-4" maxValue="1.14E-2"/>
    </cacheField>
    <cacheField name="CTR1" numFmtId="0" formula="Clicks/'Total Impressions'"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timah Chaudary" refreshedDate="45543.942305902776" createdVersion="8" refreshedVersion="8" minRefreshableVersion="3" recordCount="426" xr:uid="{5D1BEDE5-AE7F-4B42-ACAE-478D1F090132}">
  <cacheSource type="worksheet">
    <worksheetSource ref="A1:U427" sheet="Meta - Data"/>
  </cacheSource>
  <cacheFields count="19">
    <cacheField name="Market" numFmtId="0">
      <sharedItems/>
    </cacheField>
    <cacheField name="Campaign name" numFmtId="0">
      <sharedItems/>
    </cacheField>
    <cacheField name="Audience" numFmtId="0">
      <sharedItems/>
    </cacheField>
    <cacheField name="Language" numFmtId="0">
      <sharedItems/>
    </cacheField>
    <cacheField name="Format" numFmtId="0">
      <sharedItems/>
    </cacheField>
    <cacheField name="Creative variations" numFmtId="0">
      <sharedItems/>
    </cacheField>
    <cacheField name="Reach" numFmtId="1">
      <sharedItems containsSemiMixedTypes="0" containsString="0" containsNumber="1" containsInteger="1" minValue="0" maxValue="1314825"/>
    </cacheField>
    <cacheField name="Impressions" numFmtId="1">
      <sharedItems containsSemiMixedTypes="0" containsString="0" containsNumber="1" containsInteger="1" minValue="0" maxValue="6014321"/>
    </cacheField>
    <cacheField name="Amount spent (USD)" numFmtId="2">
      <sharedItems containsSemiMixedTypes="0" containsString="0" containsNumber="1" minValue="0" maxValue="5022.12"/>
    </cacheField>
    <cacheField name="clicks" numFmtId="1">
      <sharedItems containsSemiMixedTypes="0" containsString="0" containsNumber="1" containsInteger="1" minValue="0" maxValue="26667"/>
    </cacheField>
    <cacheField name="3-second video plays" numFmtId="1">
      <sharedItems containsSemiMixedTypes="0" containsString="0" containsNumber="1" containsInteger="1" minValue="0" maxValue="1174872"/>
    </cacheField>
    <cacheField name="Video plays at 100%" numFmtId="1">
      <sharedItems containsSemiMixedTypes="0" containsString="0" containsNumber="1" containsInteger="1" minValue="0" maxValue="30016"/>
    </cacheField>
    <cacheField name="CTR (all)" numFmtId="10">
      <sharedItems containsSemiMixedTypes="0" containsString="0" containsNumber="1" minValue="0" maxValue="2.7644230769230768E-2"/>
    </cacheField>
    <cacheField name="VTR" numFmtId="164">
      <sharedItems containsSemiMixedTypes="0" containsString="0" containsNumber="1" minValue="0" maxValue="1"/>
    </cacheField>
    <cacheField name="Post engagement" numFmtId="1">
      <sharedItems containsSemiMixedTypes="0" containsString="0" containsNumber="1" containsInteger="1" minValue="0" maxValue="1191803"/>
    </cacheField>
    <cacheField name="Engagement Rate" numFmtId="166">
      <sharedItems containsSemiMixedTypes="0" containsString="0" containsNumber="1" minValue="0" maxValue="3.85353374"/>
    </cacheField>
    <cacheField name="Age Group" numFmtId="166">
      <sharedItems count="2">
        <s v="Millennials"/>
        <s v="Boomers"/>
      </sharedItems>
    </cacheField>
    <cacheField name="Conversion Rate" numFmtId="10">
      <sharedItems containsSemiMixedTypes="0" containsString="0" containsNumber="1" minValue="0" maxValue="0.1207227374480333"/>
    </cacheField>
    <cacheField name="CTR Analysis"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timah Chaudary" refreshedDate="45571.577187152776" createdVersion="8" refreshedVersion="8" minRefreshableVersion="3" recordCount="426" xr:uid="{3AC21626-D755-4F3D-835B-2257A2432AD1}">
  <cacheSource type="worksheet">
    <worksheetSource ref="A1:U427" sheet="Meta - Data"/>
  </cacheSource>
  <cacheFields count="21">
    <cacheField name="Market" numFmtId="0">
      <sharedItems count="7">
        <s v="AE"/>
        <s v="BH"/>
        <s v="JED"/>
        <s v="KW"/>
        <s v="OM"/>
        <s v="QA"/>
        <s v="RIY"/>
      </sharedItems>
    </cacheField>
    <cacheField name="Campaign name" numFmtId="0">
      <sharedItems/>
    </cacheField>
    <cacheField name="Audience" numFmtId="0">
      <sharedItems/>
    </cacheField>
    <cacheField name="Age Group" numFmtId="0">
      <sharedItems count="2">
        <s v="Millennials"/>
        <s v="Boomers"/>
      </sharedItems>
    </cacheField>
    <cacheField name="Language" numFmtId="0">
      <sharedItems count="2">
        <s v="AR"/>
        <s v="EN"/>
      </sharedItems>
    </cacheField>
    <cacheField name="Format" numFmtId="0">
      <sharedItems/>
    </cacheField>
    <cacheField name="Creative variations" numFmtId="0">
      <sharedItems count="4">
        <s v="16x9"/>
        <s v="1x1"/>
        <s v="9x16"/>
        <s v="Carousel"/>
      </sharedItems>
    </cacheField>
    <cacheField name="Amount spent (USD)" numFmtId="2">
      <sharedItems containsSemiMixedTypes="0" containsString="0" containsNumber="1" minValue="0" maxValue="5022.12"/>
    </cacheField>
    <cacheField name="Impressions" numFmtId="1">
      <sharedItems containsSemiMixedTypes="0" containsString="0" containsNumber="1" containsInteger="1" minValue="0" maxValue="6014321"/>
    </cacheField>
    <cacheField name="Reach" numFmtId="1">
      <sharedItems containsSemiMixedTypes="0" containsString="0" containsNumber="1" containsInteger="1" minValue="0" maxValue="1314825"/>
    </cacheField>
    <cacheField name="Clicks" numFmtId="1">
      <sharedItems containsSemiMixedTypes="0" containsString="0" containsNumber="1" containsInteger="1" minValue="0" maxValue="26667"/>
    </cacheField>
    <cacheField name="Engagement" numFmtId="1">
      <sharedItems containsSemiMixedTypes="0" containsString="0" containsNumber="1" containsInteger="1" minValue="0" maxValue="1191803"/>
    </cacheField>
    <cacheField name="3-Second Video Views" numFmtId="1">
      <sharedItems containsSemiMixedTypes="0" containsString="0" containsNumber="1" containsInteger="1" minValue="0" maxValue="1174872"/>
    </cacheField>
    <cacheField name="Video Completions" numFmtId="1">
      <sharedItems containsSemiMixedTypes="0" containsString="0" containsNumber="1" containsInteger="1" minValue="0" maxValue="30016"/>
    </cacheField>
    <cacheField name="Engagement Rate" numFmtId="165">
      <sharedItems containsSemiMixedTypes="0" containsString="0" containsNumber="1" minValue="0" maxValue="3.85353374"/>
    </cacheField>
    <cacheField name="VTR (3 Sec)" numFmtId="164">
      <sharedItems containsSemiMixedTypes="0" containsString="0" containsNumber="1" minValue="0" maxValue="1"/>
    </cacheField>
    <cacheField name="VTR (Complete)" numFmtId="164">
      <sharedItems containsSemiMixedTypes="0" containsString="0" containsNumber="1" minValue="0" maxValue="1"/>
    </cacheField>
    <cacheField name="CPM" numFmtId="2">
      <sharedItems containsSemiMixedTypes="0" containsString="0" containsNumber="1" minValue="0" maxValue="130"/>
    </cacheField>
    <cacheField name="CTR" numFmtId="10">
      <sharedItems containsSemiMixedTypes="0" containsString="0" containsNumber="1" minValue="0" maxValue="2.7644230769230768E-2"/>
    </cacheField>
    <cacheField name="Conversion Rate" numFmtId="10">
      <sharedItems containsSemiMixedTypes="0" containsString="0" containsNumber="1" minValue="0" maxValue="0.1207227374480333"/>
    </cacheField>
    <cacheField name="CTR Analysis" numFmtId="0">
      <sharedItems/>
    </cacheField>
  </cacheFields>
  <extLst>
    <ext xmlns:x14="http://schemas.microsoft.com/office/spreadsheetml/2009/9/main" uri="{725AE2AE-9491-48be-B2B4-4EB974FC3084}">
      <x14:pivotCacheDefinition pivotCacheId="179509519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timah Chaudary" refreshedDate="45571.581019328703" createdVersion="8" refreshedVersion="8" minRefreshableVersion="3" recordCount="72" xr:uid="{3979586D-D22E-4063-B8C1-A3E9D0B29E4B}">
  <cacheSource type="worksheet">
    <worksheetSource ref="A1:T73" sheet="Tiktok - Data"/>
  </cacheSource>
  <cacheFields count="20">
    <cacheField name="Market" numFmtId="0">
      <sharedItems count="7">
        <s v="RIY"/>
        <s v="QAT"/>
        <s v="OMA"/>
        <s v="KWT"/>
        <s v="JED"/>
        <s v="BAH"/>
        <s v="AE"/>
      </sharedItems>
    </cacheField>
    <cacheField name="Campaign Name" numFmtId="0">
      <sharedItems count="8">
        <s v="FBIG_MK~RIY_TG"/>
        <s v="Tiktok_MK~RIY_TG"/>
        <s v="Tiktok_MK~QAT_TG"/>
        <s v="Tiktok_MK~OMA_TG"/>
        <s v="Tiktok_MK~KWT_TG"/>
        <s v="Tiktok_MK~JED_TG"/>
        <s v="Tiktok_MK~BAH_TG"/>
        <s v="Tiktok_MK~AE_TG"/>
      </sharedItems>
    </cacheField>
    <cacheField name="Audience" numFmtId="0">
      <sharedItems/>
    </cacheField>
    <cacheField name="Age Group" numFmtId="0">
      <sharedItems count="2">
        <s v="Millennials"/>
        <s v="Boomers"/>
      </sharedItems>
    </cacheField>
    <cacheField name="Language " numFmtId="0">
      <sharedItems count="2">
        <s v="AR"/>
        <s v="EN"/>
      </sharedItems>
    </cacheField>
    <cacheField name="Format" numFmtId="0">
      <sharedItems/>
    </cacheField>
    <cacheField name="Creative Variation" numFmtId="0">
      <sharedItems/>
    </cacheField>
    <cacheField name="Amount spent (USD)" numFmtId="2">
      <sharedItems containsSemiMixedTypes="0" containsString="0" containsNumber="1" minValue="5.79" maxValue="6640.06"/>
    </cacheField>
    <cacheField name="Impressions" numFmtId="1">
      <sharedItems containsSemiMixedTypes="0" containsString="0" containsNumber="1" containsInteger="1" minValue="1488" maxValue="5201668"/>
    </cacheField>
    <cacheField name="Reach" numFmtId="1">
      <sharedItems containsSemiMixedTypes="0" containsString="0" containsNumber="1" containsInteger="1" minValue="1219" maxValue="3064506"/>
    </cacheField>
    <cacheField name="Clicks" numFmtId="1">
      <sharedItems containsSemiMixedTypes="0" containsString="0" containsNumber="1" containsInteger="1" minValue="0" maxValue="11347"/>
    </cacheField>
    <cacheField name="Engagement" numFmtId="1">
      <sharedItems containsSemiMixedTypes="0" containsString="0" containsNumber="1" containsInteger="1" minValue="7" maxValue="30892"/>
    </cacheField>
    <cacheField name="2 Second Video Views" numFmtId="1">
      <sharedItems containsSemiMixedTypes="0" containsString="0" containsNumber="1" containsInteger="1" minValue="242" maxValue="676057"/>
    </cacheField>
    <cacheField name="Video Completions" numFmtId="1">
      <sharedItems containsSemiMixedTypes="0" containsString="0" containsNumber="1" containsInteger="1" minValue="2" maxValue="13332"/>
    </cacheField>
    <cacheField name="Engagement Rate" numFmtId="165">
      <sharedItems containsMixedTypes="1" containsNumber="1" minValue="8.9999999999999998E-4" maxValue="1.14E-2"/>
    </cacheField>
    <cacheField name="VTR (2 Sec)" numFmtId="10">
      <sharedItems containsSemiMixedTypes="0" containsString="0" containsNumber="1" minValue="7.6207352891957195E-2" maxValue="0.22953884503531366"/>
    </cacheField>
    <cacheField name="VTR (Complete)" numFmtId="10">
      <sharedItems containsSemiMixedTypes="0" containsString="0" containsNumber="1" minValue="7.8773729199059788E-4" maxValue="9.247027741083224E-3"/>
    </cacheField>
    <cacheField name="CPM" numFmtId="2">
      <sharedItems containsSemiMixedTypes="0" containsString="0" containsNumber="1" minValue="0.26" maxValue="7.85"/>
    </cacheField>
    <cacheField name="CTR" numFmtId="10">
      <sharedItems containsSemiMixedTypes="0" containsString="0" containsNumber="1" minValue="0" maxValue="3.7000000000000002E-3"/>
    </cacheField>
    <cacheField name="CTR Analysis" numFmtId="0">
      <sharedItems/>
    </cacheField>
  </cacheFields>
  <extLst>
    <ext xmlns:x14="http://schemas.microsoft.com/office/spreadsheetml/2009/9/main" uri="{725AE2AE-9491-48be-B2B4-4EB974FC3084}">
      <x14:pivotCacheDefinition pivotCacheId="2074356818"/>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timah Chaudary" refreshedDate="45571.594920717595" createdVersion="8" refreshedVersion="8" minRefreshableVersion="3" recordCount="53" xr:uid="{1F95CFF3-0632-42FE-8D67-4FDF39A29053}">
  <cacheSource type="worksheet">
    <worksheetSource ref="A1:W54" sheet="Snapchat - Data"/>
  </cacheSource>
  <cacheFields count="23">
    <cacheField name="Market" numFmtId="0">
      <sharedItems/>
    </cacheField>
    <cacheField name="Campaign Name" numFmtId="0">
      <sharedItems/>
    </cacheField>
    <cacheField name="Campaign Strategy" numFmtId="0">
      <sharedItems/>
    </cacheField>
    <cacheField name="Audience" numFmtId="0">
      <sharedItems/>
    </cacheField>
    <cacheField name="Age Group" numFmtId="0">
      <sharedItems count="2">
        <s v="Millennials"/>
        <s v="Boomers"/>
      </sharedItems>
    </cacheField>
    <cacheField name="Language" numFmtId="0">
      <sharedItems/>
    </cacheField>
    <cacheField name="Playback Time" numFmtId="0">
      <sharedItems containsSemiMixedTypes="0" containsString="0" containsNumber="1" containsInteger="1" minValue="30" maxValue="45"/>
    </cacheField>
    <cacheField name="Format" numFmtId="0">
      <sharedItems/>
    </cacheField>
    <cacheField name="Creative Variation" numFmtId="0">
      <sharedItems/>
    </cacheField>
    <cacheField name="Amount spent (USD)" numFmtId="2">
      <sharedItems containsSemiMixedTypes="0" containsString="0" containsNumber="1" minValue="3.22" maxValue="2910.22"/>
    </cacheField>
    <cacheField name="Impressions" numFmtId="1">
      <sharedItems containsSemiMixedTypes="0" containsString="0" containsNumber="1" containsInteger="1" minValue="6742" maxValue="2618714"/>
    </cacheField>
    <cacheField name="Reach" numFmtId="1">
      <sharedItems containsSemiMixedTypes="0" containsString="0" containsNumber="1" containsInteger="1" minValue="6681" maxValue="2161313"/>
    </cacheField>
    <cacheField name="Clicks" numFmtId="1">
      <sharedItems containsSemiMixedTypes="0" containsString="0" containsNumber="1" containsInteger="1" minValue="0" maxValue="7449"/>
    </cacheField>
    <cacheField name="Engagement" numFmtId="0">
      <sharedItems/>
    </cacheField>
    <cacheField name="Engagement Rate" numFmtId="165">
      <sharedItems containsSemiMixedTypes="0" containsString="0" containsNumber="1" minValue="0" maxValue="1.3716862233811387E-2"/>
    </cacheField>
    <cacheField name="2 Second Video Views" numFmtId="1">
      <sharedItems containsSemiMixedTypes="0" containsString="0" containsNumber="1" containsInteger="1" minValue="109" maxValue="402299"/>
    </cacheField>
    <cacheField name="Video Completions" numFmtId="1">
      <sharedItems containsSemiMixedTypes="0" containsString="0" containsNumber="1" containsInteger="1" minValue="9" maxValue="13870"/>
    </cacheField>
    <cacheField name="Frequency" numFmtId="165">
      <sharedItems containsSemiMixedTypes="0" containsString="0" containsNumber="1" minValue="1.0091000000000001" maxValue="3.4630000000000001"/>
    </cacheField>
    <cacheField name="VTR (2 Sec)" numFmtId="10">
      <sharedItems containsSemiMixedTypes="0" containsString="0" containsNumber="1" minValue="1.6167309403737763E-2" maxValue="0.41325295702607662"/>
    </cacheField>
    <cacheField name="VTR (Complete)" numFmtId="10">
      <sharedItems containsSemiMixedTypes="0" containsString="0" containsNumber="1" minValue="3.8284839203675346E-4" maxValue="1.5938211527300326E-2"/>
    </cacheField>
    <cacheField name="CPM" numFmtId="2">
      <sharedItems containsSemiMixedTypes="0" containsString="0" containsNumber="1" minValue="0.48" maxValue="2.42"/>
    </cacheField>
    <cacheField name="CTR" numFmtId="10">
      <sharedItems containsSemiMixedTypes="0" containsString="0" containsNumber="1" minValue="0" maxValue="6.2801475456351081E-3"/>
    </cacheField>
    <cacheField name="CTR Analysis" numFmtId="0">
      <sharedItems/>
    </cacheField>
  </cacheFields>
  <extLst>
    <ext xmlns:x14="http://schemas.microsoft.com/office/spreadsheetml/2009/9/main" uri="{725AE2AE-9491-48be-B2B4-4EB974FC3084}">
      <x14:pivotCacheDefinition pivotCacheId="16049489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s v="RIY"/>
    <x v="0"/>
    <s v="Interests"/>
    <s v="AR"/>
    <s v="Video"/>
    <s v="9x16"/>
    <n v="6640.06"/>
    <n v="11347"/>
    <n v="3064506"/>
    <n v="5201668"/>
    <n v="2.2000000000000001E-3"/>
    <n v="1.28"/>
    <n v="499252"/>
    <n v="5692"/>
    <n v="9.5979212821733342E-2"/>
    <n v="1.0942643782725079E-3"/>
    <n v="30892"/>
    <n v="5.8999999999999999E-3"/>
  </r>
  <r>
    <s v="RIY"/>
    <x v="0"/>
    <s v="Interests"/>
    <s v="AR"/>
    <s v="Video"/>
    <s v="9x16"/>
    <n v="6242.05"/>
    <n v="10319"/>
    <n v="2927170"/>
    <n v="4897606"/>
    <n v="2.0999999999999999E-3"/>
    <n v="1.27"/>
    <n v="670323"/>
    <n v="13332"/>
    <n v="0.13686748178599911"/>
    <n v="2.7221462894320204E-3"/>
    <n v="29129"/>
    <n v="5.8999999999999999E-3"/>
  </r>
  <r>
    <s v="RIY"/>
    <x v="0"/>
    <s v="Interests"/>
    <s v="AR"/>
    <s v="Video"/>
    <s v="9x16"/>
    <n v="6196.59"/>
    <n v="10100"/>
    <n v="2903385"/>
    <n v="4899758"/>
    <n v="2.0999999999999999E-3"/>
    <n v="1.26"/>
    <n v="676057"/>
    <n v="8223"/>
    <n v="0.13797763073196675"/>
    <n v="1.6782461501159854E-3"/>
    <n v="28854"/>
    <n v="5.8999999999999999E-3"/>
  </r>
  <r>
    <s v="RIY"/>
    <x v="0"/>
    <s v="Interests"/>
    <s v="AR"/>
    <s v="Video"/>
    <s v="9x16"/>
    <n v="412.15"/>
    <n v="0"/>
    <n v="539004"/>
    <n v="637825"/>
    <n v="0"/>
    <n v="0.65"/>
    <n v="80421"/>
    <n v="1387"/>
    <n v="0.12608630894054013"/>
    <n v="2.174577666287775E-3"/>
    <n v="1879"/>
    <n v="2.8999999999999998E-3"/>
  </r>
  <r>
    <s v="RIY"/>
    <x v="0"/>
    <s v="Interests"/>
    <s v="AR"/>
    <s v="Video"/>
    <s v="9x16"/>
    <n v="405.21"/>
    <n v="0"/>
    <n v="534674"/>
    <n v="630921"/>
    <n v="0"/>
    <n v="0.64"/>
    <n v="51336"/>
    <n v="497"/>
    <n v="8.1366763826215965E-2"/>
    <n v="7.8773729199059788E-4"/>
    <n v="1891"/>
    <n v="3.0000000000000001E-3"/>
  </r>
  <r>
    <s v="RIY"/>
    <x v="0"/>
    <s v="Interests"/>
    <s v="AR"/>
    <s v="Video"/>
    <s v="9x16"/>
    <n v="385.44"/>
    <n v="0"/>
    <n v="512892"/>
    <n v="605984"/>
    <n v="0"/>
    <n v="0.64"/>
    <n v="80282"/>
    <n v="761"/>
    <n v="0.13248204573058034"/>
    <n v="1.255808734224006E-3"/>
    <n v="1723"/>
    <n v="2.8E-3"/>
  </r>
  <r>
    <s v="RIY"/>
    <x v="1"/>
    <s v="CDP"/>
    <s v="AR"/>
    <s v="Video"/>
    <s v="9x16"/>
    <n v="90.85"/>
    <n v="50"/>
    <n v="9481"/>
    <n v="13789"/>
    <n v="3.5999999999999999E-3"/>
    <n v="6.59"/>
    <n v="2629"/>
    <n v="106"/>
    <n v="0.19065922111828268"/>
    <n v="7.6872869678729422E-3"/>
    <n v="151"/>
    <n v="1.0999999999999999E-2"/>
  </r>
  <r>
    <s v="RIY"/>
    <x v="1"/>
    <s v="CDP"/>
    <s v="AR"/>
    <s v="Video"/>
    <s v="9x16"/>
    <n v="90.28"/>
    <n v="51"/>
    <n v="9441"/>
    <n v="13636"/>
    <n v="3.7000000000000002E-3"/>
    <n v="6.62"/>
    <n v="2166"/>
    <n v="48"/>
    <n v="0.15884423584628923"/>
    <n v="3.5200938691698444E-3"/>
    <n v="155"/>
    <n v="1.14E-2"/>
  </r>
  <r>
    <s v="RIY"/>
    <x v="1"/>
    <s v="CDP"/>
    <s v="AR"/>
    <s v="Video"/>
    <s v="9x16"/>
    <n v="89.05"/>
    <n v="30"/>
    <n v="9503"/>
    <n v="13850"/>
    <n v="2.2000000000000001E-3"/>
    <n v="6.43"/>
    <n v="2583"/>
    <n v="57"/>
    <n v="0.18649819494584838"/>
    <n v="4.1155234657039713E-3"/>
    <n v="112"/>
    <n v="8.1000000000000013E-3"/>
  </r>
  <r>
    <s v="RIY"/>
    <x v="1"/>
    <s v="CDP"/>
    <s v="AR"/>
    <s v="Video"/>
    <s v="9x16"/>
    <n v="12.82"/>
    <n v="0"/>
    <n v="4145"/>
    <n v="5100"/>
    <n v="0"/>
    <n v="2.5099999999999998"/>
    <n v="1098"/>
    <n v="39"/>
    <n v="0.21529411764705883"/>
    <n v="7.6470588235294122E-3"/>
    <n v="34"/>
    <n v="6.7000000000000002E-3"/>
  </r>
  <r>
    <s v="RIY"/>
    <x v="1"/>
    <s v="CDP"/>
    <s v="AR"/>
    <s v="Video"/>
    <s v="9x16"/>
    <n v="12.5"/>
    <n v="0"/>
    <n v="4059"/>
    <n v="5075"/>
    <n v="0"/>
    <n v="2.46"/>
    <n v="855"/>
    <n v="18"/>
    <n v="0.16847290640394089"/>
    <n v="3.5467980295566504E-3"/>
    <n v="33"/>
    <n v="6.5000000000000006E-3"/>
  </r>
  <r>
    <s v="RIY"/>
    <x v="1"/>
    <s v="CDP"/>
    <s v="AR"/>
    <s v="Video"/>
    <s v="9x16"/>
    <n v="11.28"/>
    <n v="0"/>
    <n v="3857"/>
    <n v="4814"/>
    <n v="0"/>
    <n v="2.34"/>
    <n v="1105"/>
    <n v="21"/>
    <n v="0.22953884503531366"/>
    <n v="4.3622766929788115E-3"/>
    <n v="25"/>
    <n v="5.1999999999999998E-3"/>
  </r>
  <r>
    <s v="QAT"/>
    <x v="2"/>
    <s v="Interests"/>
    <s v="AR"/>
    <s v="Video"/>
    <s v="9x16"/>
    <n v="753.03"/>
    <n v="1594"/>
    <n v="604532"/>
    <n v="925679"/>
    <n v="1.6999999999999999E-3"/>
    <n v="0.81"/>
    <n v="140422"/>
    <n v="3176"/>
    <n v="0.1516962143464419"/>
    <n v="3.4309949777406638E-3"/>
    <n v="4913"/>
    <n v="5.3E-3"/>
  </r>
  <r>
    <s v="QAT"/>
    <x v="2"/>
    <s v="Interests"/>
    <s v="EN"/>
    <s v="Video"/>
    <s v="9x16"/>
    <n v="729.56"/>
    <n v="1721"/>
    <n v="593301"/>
    <n v="906138"/>
    <n v="1.9E-3"/>
    <n v="0.81"/>
    <n v="114828"/>
    <n v="2174"/>
    <n v="0.12672241976387702"/>
    <n v="2.3991930588938993E-3"/>
    <n v="4803"/>
    <n v="5.3E-3"/>
  </r>
  <r>
    <s v="QAT"/>
    <x v="2"/>
    <s v="Interests"/>
    <s v="EN"/>
    <s v="Video"/>
    <s v="9x16"/>
    <n v="729.44"/>
    <n v="1724"/>
    <n v="594177"/>
    <n v="903314"/>
    <n v="1.9E-3"/>
    <n v="0.81"/>
    <n v="123348"/>
    <n v="3143"/>
    <n v="0.13655052395955339"/>
    <n v="3.4794102604409982E-3"/>
    <n v="4815"/>
    <n v="5.3E-3"/>
  </r>
  <r>
    <s v="QAT"/>
    <x v="2"/>
    <s v="Interests"/>
    <s v="AR"/>
    <s v="Video"/>
    <s v="9x16"/>
    <n v="723.32"/>
    <n v="1390"/>
    <n v="592808"/>
    <n v="899545"/>
    <n v="1.5E-3"/>
    <n v="0.8"/>
    <n v="117662"/>
    <n v="2194"/>
    <n v="0.13080168307310919"/>
    <n v="2.43901083325459E-3"/>
    <n v="4470"/>
    <n v="5.0000000000000001E-3"/>
  </r>
  <r>
    <s v="QAT"/>
    <x v="2"/>
    <s v="Interests"/>
    <s v="AR"/>
    <s v="Video"/>
    <s v="9x16"/>
    <n v="59.42"/>
    <n v="0"/>
    <n v="119639"/>
    <n v="136147"/>
    <n v="0"/>
    <n v="0.44"/>
    <n v="19564"/>
    <n v="391"/>
    <n v="0.14369762095382196"/>
    <n v="2.8718958184903083E-3"/>
    <n v="281"/>
    <n v="2.0999999999999999E-3"/>
  </r>
  <r>
    <s v="QAT"/>
    <x v="2"/>
    <s v="Interests"/>
    <s v="EN"/>
    <s v="Video"/>
    <s v="9x16"/>
    <n v="47.55"/>
    <n v="0"/>
    <n v="109046"/>
    <n v="122626"/>
    <n v="0"/>
    <n v="0.39"/>
    <n v="15268"/>
    <n v="327"/>
    <n v="0.12450866863471043"/>
    <n v="2.6666449203268474E-3"/>
    <n v="277"/>
    <n v="2.3E-3"/>
  </r>
  <r>
    <s v="QAT"/>
    <x v="2"/>
    <s v="Interests"/>
    <s v="EN"/>
    <s v="Video"/>
    <s v="9x16"/>
    <n v="46.13"/>
    <n v="0"/>
    <n v="107007"/>
    <n v="119740"/>
    <n v="0"/>
    <n v="0.39"/>
    <n v="13823"/>
    <n v="228"/>
    <n v="0.11544179054618339"/>
    <n v="1.9041256054785369E-3"/>
    <n v="283"/>
    <n v="2.3999999999999998E-3"/>
  </r>
  <r>
    <s v="QAT"/>
    <x v="2"/>
    <s v="Interests"/>
    <s v="AR"/>
    <s v="Video"/>
    <s v="9x16"/>
    <n v="42.06"/>
    <n v="0"/>
    <n v="102452"/>
    <n v="115599"/>
    <n v="0"/>
    <n v="0.36"/>
    <n v="13754"/>
    <n v="235"/>
    <n v="0.11898026799539789"/>
    <n v="2.0328895578681475E-3"/>
    <n v="263"/>
    <n v="2.3E-3"/>
  </r>
  <r>
    <s v="OMA"/>
    <x v="3"/>
    <s v="Interests"/>
    <s v="EN"/>
    <s v="Video"/>
    <s v="9x16"/>
    <n v="273.51"/>
    <n v="0"/>
    <n v="412773"/>
    <n v="658188"/>
    <n v="0"/>
    <n v="0.42"/>
    <n v="106158"/>
    <n v="2373"/>
    <n v="0.16128826414337544"/>
    <n v="3.6053528779011468E-3"/>
    <n v="2389"/>
    <n v="3.5999999999999999E-3"/>
  </r>
  <r>
    <s v="OMA"/>
    <x v="3"/>
    <s v="Interests"/>
    <s v="AR"/>
    <s v="Video"/>
    <s v="9x16"/>
    <n v="255.96"/>
    <n v="0"/>
    <n v="403822"/>
    <n v="639027"/>
    <n v="0"/>
    <n v="0.4"/>
    <n v="132148"/>
    <n v="2514"/>
    <n v="0.20679564400252259"/>
    <n v="3.9341060706355128E-3"/>
    <n v="2513"/>
    <n v="3.8999999999999998E-3"/>
  </r>
  <r>
    <s v="OMA"/>
    <x v="3"/>
    <s v="Interests"/>
    <s v="EN"/>
    <s v="Video"/>
    <s v="9x16"/>
    <n v="255.51"/>
    <n v="0"/>
    <n v="405289"/>
    <n v="639959"/>
    <n v="0"/>
    <n v="0.4"/>
    <n v="96482"/>
    <n v="1574"/>
    <n v="0.15076278324080136"/>
    <n v="2.4595325638048686E-3"/>
    <n v="2410"/>
    <n v="3.8E-3"/>
  </r>
  <r>
    <s v="OMA"/>
    <x v="3"/>
    <s v="Interests"/>
    <s v="AR"/>
    <s v="Video"/>
    <s v="9x16"/>
    <n v="246.34"/>
    <n v="0"/>
    <n v="402112"/>
    <n v="630665"/>
    <n v="0"/>
    <n v="0.39"/>
    <n v="122502"/>
    <n v="1640"/>
    <n v="0.19424258520767762"/>
    <n v="2.6004297051524976E-3"/>
    <n v="2518"/>
    <n v="4.0000000000000001E-3"/>
  </r>
  <r>
    <s v="KWT"/>
    <x v="4"/>
    <s v="Interests"/>
    <s v="EN"/>
    <s v="Video"/>
    <s v="9x16"/>
    <n v="1026.6500000000001"/>
    <n v="2035"/>
    <n v="748514"/>
    <n v="1060287"/>
    <n v="1.9E-3"/>
    <n v="0.97"/>
    <n v="118626"/>
    <n v="2105"/>
    <n v="0.11188102843852656"/>
    <n v="1.9853115241439344E-3"/>
    <n v="3352"/>
    <n v="3.2000000000000002E-3"/>
  </r>
  <r>
    <s v="KWT"/>
    <x v="4"/>
    <s v="Interests"/>
    <s v="EN"/>
    <s v="Video"/>
    <s v="9x16"/>
    <n v="1003.87"/>
    <n v="2069"/>
    <n v="739197"/>
    <n v="1047074"/>
    <n v="2E-3"/>
    <n v="0.96"/>
    <n v="123987"/>
    <n v="3244"/>
    <n v="0.1184128342409419"/>
    <n v="3.0981573413149405E-3"/>
    <n v="3315"/>
    <n v="3.2000000000000002E-3"/>
  </r>
  <r>
    <s v="KWT"/>
    <x v="4"/>
    <s v="Interests"/>
    <s v="AR"/>
    <s v="Video"/>
    <s v="9x16"/>
    <n v="915.44"/>
    <n v="1446"/>
    <n v="698282"/>
    <n v="976618"/>
    <n v="1.5E-3"/>
    <n v="0.94"/>
    <n v="133648"/>
    <n v="3098"/>
    <n v="0.13684777466727011"/>
    <n v="3.1721717191368578E-3"/>
    <n v="2773"/>
    <n v="2.8E-3"/>
  </r>
  <r>
    <s v="KWT"/>
    <x v="4"/>
    <s v="Interests"/>
    <s v="AR"/>
    <s v="Video"/>
    <s v="9x16"/>
    <n v="874.96"/>
    <n v="1375"/>
    <n v="668554"/>
    <n v="935995"/>
    <n v="1.5E-3"/>
    <n v="0.93"/>
    <n v="118711"/>
    <n v="1874"/>
    <n v="0.12682866895656494"/>
    <n v="2.0021474473688426E-3"/>
    <n v="2557"/>
    <n v="2.7000000000000001E-3"/>
  </r>
  <r>
    <s v="KWT"/>
    <x v="4"/>
    <s v="Interests"/>
    <s v="EN"/>
    <s v="Video"/>
    <s v="9x16"/>
    <n v="328.29"/>
    <n v="0"/>
    <n v="423244"/>
    <n v="520171"/>
    <n v="0"/>
    <n v="0.63"/>
    <n v="62835"/>
    <n v="1520"/>
    <n v="0.12079681489356385"/>
    <n v="2.9221159964703913E-3"/>
    <n v="658"/>
    <n v="1.2999999999999999E-3"/>
  </r>
  <r>
    <s v="KWT"/>
    <x v="4"/>
    <s v="Interests"/>
    <s v="EN"/>
    <s v="Video"/>
    <s v="9x16"/>
    <n v="269.68"/>
    <n v="0"/>
    <n v="378376"/>
    <n v="457824"/>
    <n v="0"/>
    <n v="0.59"/>
    <n v="51275"/>
    <n v="844"/>
    <n v="0.11199718669182918"/>
    <n v="1.8435031802614104E-3"/>
    <n v="514"/>
    <n v="1.1000000000000001E-3"/>
  </r>
  <r>
    <s v="KWT"/>
    <x v="4"/>
    <s v="Interests"/>
    <s v="AR"/>
    <s v="Video"/>
    <s v="9x16"/>
    <n v="265.89"/>
    <n v="0"/>
    <n v="375205"/>
    <n v="459632"/>
    <n v="0"/>
    <n v="0.57999999999999996"/>
    <n v="64249"/>
    <n v="1381"/>
    <n v="0.13978356598322136"/>
    <n v="3.0045775751035612E-3"/>
    <n v="600"/>
    <n v="1.2999999999999999E-3"/>
  </r>
  <r>
    <s v="KWT"/>
    <x v="4"/>
    <s v="Interests"/>
    <s v="AR"/>
    <s v="Video"/>
    <s v="9x16"/>
    <n v="217.72"/>
    <n v="0"/>
    <n v="337792"/>
    <n v="409480"/>
    <n v="0"/>
    <n v="0.53"/>
    <n v="53202"/>
    <n v="728"/>
    <n v="0.12992575949985347"/>
    <n v="1.7778646087721012E-3"/>
    <n v="482"/>
    <n v="1.1999999999999999E-3"/>
  </r>
  <r>
    <s v="KWT"/>
    <x v="4"/>
    <s v="CDP"/>
    <s v="AR"/>
    <s v="Video"/>
    <s v="9x16"/>
    <n v="7.58"/>
    <n v="0"/>
    <n v="1962"/>
    <n v="2542"/>
    <n v="0"/>
    <n v="2.98"/>
    <n v="479"/>
    <n v="10"/>
    <n v="0.1884343036978757"/>
    <n v="3.9339103068450039E-3"/>
    <n v="12"/>
    <n v="4.6999999999999993E-3"/>
  </r>
  <r>
    <s v="KWT"/>
    <x v="4"/>
    <s v="CDP"/>
    <s v="AR"/>
    <s v="Video"/>
    <s v="9x16"/>
    <n v="7.25"/>
    <n v="0"/>
    <n v="1949"/>
    <n v="2560"/>
    <n v="0"/>
    <n v="2.83"/>
    <n v="527"/>
    <n v="18"/>
    <n v="0.20585937500000001"/>
    <n v="7.0312500000000002E-3"/>
    <n v="15"/>
    <n v="5.8999999999999999E-3"/>
  </r>
  <r>
    <s v="KWT"/>
    <x v="4"/>
    <s v="CDP"/>
    <s v="EN"/>
    <s v="Video"/>
    <s v="9x16"/>
    <n v="7.12"/>
    <n v="0"/>
    <n v="1784"/>
    <n v="2305"/>
    <n v="0"/>
    <n v="3.09"/>
    <n v="472"/>
    <n v="19"/>
    <n v="0.20477223427331886"/>
    <n v="8.2429501084598702E-3"/>
    <n v="9"/>
    <n v="3.8999999999999998E-3"/>
  </r>
  <r>
    <s v="KWT"/>
    <x v="4"/>
    <s v="CDP"/>
    <s v="EN"/>
    <s v="Video"/>
    <s v="9x16"/>
    <n v="6.97"/>
    <n v="0"/>
    <n v="1740"/>
    <n v="2258"/>
    <n v="0"/>
    <n v="3.09"/>
    <n v="394"/>
    <n v="5"/>
    <n v="0.17449069973427811"/>
    <n v="2.2143489813994687E-3"/>
    <n v="22"/>
    <n v="9.7000000000000003E-3"/>
  </r>
  <r>
    <s v="KWT"/>
    <x v="4"/>
    <s v="CDP"/>
    <s v="EN"/>
    <s v="Video"/>
    <s v="9x16"/>
    <n v="6.14"/>
    <n v="2"/>
    <n v="1269"/>
    <n v="1538"/>
    <n v="1.2999999999999999E-3"/>
    <n v="3.99"/>
    <n v="274"/>
    <n v="9"/>
    <n v="0.17815344603381014"/>
    <n v="5.8517555266579977E-3"/>
    <n v="7"/>
    <n v="4.5999999999999999E-3"/>
  </r>
  <r>
    <s v="KWT"/>
    <x v="4"/>
    <s v="CDP"/>
    <s v="AR"/>
    <s v="Video"/>
    <s v="9x16"/>
    <n v="5.84"/>
    <n v="0"/>
    <n v="1260"/>
    <n v="1514"/>
    <n v="0"/>
    <n v="3.86"/>
    <n v="305"/>
    <n v="14"/>
    <n v="0.20145310435931307"/>
    <n v="9.247027741083224E-3"/>
    <n v="8"/>
    <n v="5.3E-3"/>
  </r>
  <r>
    <s v="KWT"/>
    <x v="4"/>
    <s v="CDP"/>
    <s v="EN"/>
    <s v="Video"/>
    <s v="9x16"/>
    <n v="5.84"/>
    <n v="4"/>
    <n v="1219"/>
    <n v="1488"/>
    <n v="2.7000000000000001E-3"/>
    <n v="3.92"/>
    <n v="242"/>
    <n v="8"/>
    <n v="0.16263440860215053"/>
    <n v="5.3763440860215058E-3"/>
    <n v="10"/>
    <n v="6.7000000000000002E-3"/>
  </r>
  <r>
    <s v="KWT"/>
    <x v="4"/>
    <s v="CDP"/>
    <s v="AR"/>
    <s v="Video"/>
    <s v="9x16"/>
    <n v="5.79"/>
    <n v="5"/>
    <n v="1254"/>
    <n v="1503"/>
    <n v="3.3E-3"/>
    <n v="3.85"/>
    <n v="294"/>
    <n v="2"/>
    <n v="0.19560878243512975"/>
    <n v="1.3306719893546241E-3"/>
    <n v="10"/>
    <n v="6.7000000000000002E-3"/>
  </r>
  <r>
    <s v="JED"/>
    <x v="5"/>
    <s v="Interests"/>
    <s v="EN"/>
    <s v="Video"/>
    <s v="9x16"/>
    <n v="2162.67"/>
    <n v="5464"/>
    <n v="2272839"/>
    <n v="3316491"/>
    <n v="1.6000000000000001E-3"/>
    <n v="0.65"/>
    <n v="252741"/>
    <n v="4452"/>
    <n v="7.6207352891957195E-2"/>
    <n v="1.3423826568502674E-3"/>
    <n v="8347"/>
    <n v="2.5000000000000001E-3"/>
  </r>
  <r>
    <s v="JED"/>
    <x v="5"/>
    <s v="Interests"/>
    <s v="EN"/>
    <s v="Video"/>
    <s v="9x16"/>
    <n v="1932.22"/>
    <n v="4737"/>
    <n v="2041623"/>
    <n v="2936045"/>
    <n v="1.6000000000000001E-3"/>
    <n v="0.66"/>
    <n v="235267"/>
    <n v="5717"/>
    <n v="8.0130583829607513E-2"/>
    <n v="1.9471772401308564E-3"/>
    <n v="7285"/>
    <n v="2.5000000000000001E-3"/>
  </r>
  <r>
    <s v="JED"/>
    <x v="5"/>
    <s v="Interests"/>
    <s v="AR"/>
    <s v="Video"/>
    <s v="9x16"/>
    <n v="1769.56"/>
    <n v="3737"/>
    <n v="1932105"/>
    <n v="2754856"/>
    <n v="1.4E-3"/>
    <n v="0.64"/>
    <n v="242664"/>
    <n v="3731"/>
    <n v="8.8085910842526802E-2"/>
    <n v="1.3543357620144211E-3"/>
    <n v="5929"/>
    <n v="2.2000000000000001E-3"/>
  </r>
  <r>
    <s v="JED"/>
    <x v="5"/>
    <s v="Interests"/>
    <s v="AR"/>
    <s v="Video"/>
    <s v="9x16"/>
    <n v="1735.9"/>
    <n v="3806"/>
    <n v="1854071"/>
    <n v="2688164"/>
    <n v="1.4E-3"/>
    <n v="0.65"/>
    <n v="249105"/>
    <n v="5521"/>
    <n v="9.2667337260673083E-2"/>
    <n v="2.0538181450238898E-3"/>
    <n v="6122"/>
    <n v="2.3E-3"/>
  </r>
  <r>
    <s v="JED"/>
    <x v="5"/>
    <s v="Interests"/>
    <s v="AR"/>
    <s v="Video"/>
    <s v="9x16"/>
    <n v="639.37"/>
    <n v="0"/>
    <n v="902641"/>
    <n v="1054224"/>
    <n v="0"/>
    <n v="0.61"/>
    <n v="114444"/>
    <n v="2093"/>
    <n v="0.10855757410189865"/>
    <n v="1.9853465677123648E-3"/>
    <n v="1005"/>
    <n v="1E-3"/>
  </r>
  <r>
    <s v="JED"/>
    <x v="5"/>
    <s v="Interests"/>
    <s v="EN"/>
    <s v="Video"/>
    <s v="9x16"/>
    <n v="566.09"/>
    <n v="0"/>
    <n v="821458"/>
    <n v="966237"/>
    <n v="0"/>
    <n v="0.59"/>
    <n v="84091"/>
    <n v="1645"/>
    <n v="8.7029372710835953E-2"/>
    <n v="1.7024808613207733E-3"/>
    <n v="858"/>
    <n v="8.9999999999999998E-4"/>
  </r>
  <r>
    <s v="JED"/>
    <x v="5"/>
    <s v="Interests"/>
    <s v="AR"/>
    <s v="Video"/>
    <s v="9x16"/>
    <n v="452.32"/>
    <n v="0"/>
    <n v="695315"/>
    <n v="813410"/>
    <n v="0"/>
    <n v="0.56000000000000005"/>
    <n v="84852"/>
    <n v="1036"/>
    <n v="0.10431639640525688"/>
    <n v="1.2736504345901821E-3"/>
    <n v="762"/>
    <n v="8.9999999999999998E-4"/>
  </r>
  <r>
    <s v="JED"/>
    <x v="5"/>
    <s v="Interests"/>
    <s v="EN"/>
    <s v="Video"/>
    <s v="9x16"/>
    <n v="413.87"/>
    <n v="0"/>
    <n v="668221"/>
    <n v="777584"/>
    <n v="0"/>
    <n v="0.53"/>
    <n v="63508"/>
    <n v="913"/>
    <n v="8.1673491224099268E-2"/>
    <n v="1.1741496738616021E-3"/>
    <n v="710"/>
    <n v="8.9999999999999998E-4"/>
  </r>
  <r>
    <s v="BAH"/>
    <x v="6"/>
    <s v="Interests"/>
    <s v="AR"/>
    <s v="Video"/>
    <s v="9x16"/>
    <n v="237.91"/>
    <n v="899"/>
    <n v="295305"/>
    <n v="458426"/>
    <n v="2E-3"/>
    <n v="0.52"/>
    <n v="86823"/>
    <n v="1840"/>
    <n v="0.18939370803575714"/>
    <n v="4.0137339505176405E-3"/>
    <n v="2251"/>
    <n v="4.8999999999999998E-3"/>
  </r>
  <r>
    <s v="BAH"/>
    <x v="6"/>
    <s v="Interests"/>
    <s v="EN"/>
    <s v="Video"/>
    <s v="9x16"/>
    <n v="236.25"/>
    <n v="956"/>
    <n v="288758"/>
    <n v="450795"/>
    <n v="2.0999999999999999E-3"/>
    <n v="0.52"/>
    <n v="72364"/>
    <n v="1718"/>
    <n v="0.16052529420246453"/>
    <n v="3.8110449317317182E-3"/>
    <n v="2193"/>
    <n v="4.8999999999999998E-3"/>
  </r>
  <r>
    <s v="BAH"/>
    <x v="6"/>
    <s v="Interests"/>
    <s v="EN"/>
    <s v="Video"/>
    <s v="9x16"/>
    <n v="232.76"/>
    <n v="907"/>
    <n v="291261"/>
    <n v="451843"/>
    <n v="2E-3"/>
    <n v="0.52"/>
    <n v="68165"/>
    <n v="1072"/>
    <n v="0.15085992258372929"/>
    <n v="2.3725054941650088E-3"/>
    <n v="2162"/>
    <n v="4.7999999999999996E-3"/>
  </r>
  <r>
    <s v="BAH"/>
    <x v="6"/>
    <s v="Interests"/>
    <s v="AR"/>
    <s v="Video"/>
    <s v="9x16"/>
    <n v="232.33"/>
    <n v="851"/>
    <n v="291322"/>
    <n v="450308"/>
    <n v="1.9E-3"/>
    <n v="0.52"/>
    <n v="79762"/>
    <n v="1141"/>
    <n v="0.17712765484956963"/>
    <n v="2.5338212956465354E-3"/>
    <n v="2168"/>
    <n v="4.7999999999999996E-3"/>
  </r>
  <r>
    <s v="BAH"/>
    <x v="6"/>
    <s v="Interests"/>
    <s v="AR"/>
    <s v="Video"/>
    <s v="9x16"/>
    <n v="30.07"/>
    <n v="0"/>
    <n v="71582"/>
    <n v="82290"/>
    <n v="0"/>
    <n v="0.37"/>
    <n v="18070"/>
    <n v="350"/>
    <n v="0.21958925750394945"/>
    <n v="4.2532506987483292E-3"/>
    <n v="297"/>
    <n v="3.5999999999999999E-3"/>
  </r>
  <r>
    <s v="BAH"/>
    <x v="6"/>
    <s v="Interests"/>
    <s v="EN"/>
    <s v="Video"/>
    <s v="9x16"/>
    <n v="21.86"/>
    <n v="0"/>
    <n v="62420"/>
    <n v="71598"/>
    <n v="0"/>
    <n v="0.31"/>
    <n v="13068"/>
    <n v="241"/>
    <n v="0.18251906477834576"/>
    <n v="3.3660158104974998E-3"/>
    <n v="215"/>
    <n v="3.0000000000000001E-3"/>
  </r>
  <r>
    <s v="BAH"/>
    <x v="6"/>
    <s v="Interests"/>
    <s v="AR"/>
    <s v="Video"/>
    <s v="9x16"/>
    <n v="19.559999999999999"/>
    <n v="0"/>
    <n v="60603"/>
    <n v="69350"/>
    <n v="0"/>
    <n v="0.28000000000000003"/>
    <n v="14302"/>
    <n v="154"/>
    <n v="0.20622927180966114"/>
    <n v="2.2206200432588318E-3"/>
    <n v="256"/>
    <n v="3.7000000000000002E-3"/>
  </r>
  <r>
    <s v="BAH"/>
    <x v="6"/>
    <s v="Interests"/>
    <s v="EN"/>
    <s v="Video"/>
    <s v="9x16"/>
    <n v="16.559999999999999"/>
    <n v="0"/>
    <n v="56048"/>
    <n v="64252"/>
    <n v="0"/>
    <n v="0.26"/>
    <n v="11033"/>
    <n v="121"/>
    <n v="0.17171449915955925"/>
    <n v="1.8832098611716367E-3"/>
    <n v="182"/>
    <n v="2.8E-3"/>
  </r>
  <r>
    <s v="AE"/>
    <x v="7"/>
    <s v="Interests"/>
    <s v="EN"/>
    <s v="Video"/>
    <s v="9x16"/>
    <n v="2552.96"/>
    <n v="3534"/>
    <n v="1640434"/>
    <n v="2331205"/>
    <n v="1.5E-3"/>
    <n v="1.1000000000000001"/>
    <n v="212666"/>
    <n v="4535"/>
    <n v="9.1225782374351458E-2"/>
    <n v="1.9453458619040367E-3"/>
    <n v="8539"/>
    <n v="3.7000000000000002E-3"/>
  </r>
  <r>
    <s v="AE"/>
    <x v="7"/>
    <s v="Interests"/>
    <s v="EN"/>
    <s v="Video"/>
    <s v="9x16"/>
    <n v="2494.69"/>
    <n v="3494"/>
    <n v="1607282"/>
    <n v="2288879"/>
    <n v="1.5E-3"/>
    <n v="1.0900000000000001"/>
    <n v="221321"/>
    <n v="6055"/>
    <n v="9.6694058532582977E-2"/>
    <n v="2.6453997786689467E-3"/>
    <n v="8319"/>
    <n v="3.5999999999999999E-3"/>
  </r>
  <r>
    <s v="AE"/>
    <x v="7"/>
    <s v="Interests"/>
    <s v="AR"/>
    <s v="Video"/>
    <s v="9x16"/>
    <n v="2461.48"/>
    <n v="2936"/>
    <n v="1594418"/>
    <n v="2264381"/>
    <n v="1.2999999999999999E-3"/>
    <n v="1.0900000000000001"/>
    <n v="251997"/>
    <n v="5863"/>
    <n v="0.11128736727609002"/>
    <n v="2.5892285794660882E-3"/>
    <n v="8219"/>
    <n v="3.5999999999999999E-3"/>
  </r>
  <r>
    <s v="AE"/>
    <x v="7"/>
    <s v="Interests"/>
    <s v="AR"/>
    <s v="Video"/>
    <s v="9x16"/>
    <n v="2332.7800000000002"/>
    <n v="2719"/>
    <n v="1548287"/>
    <n v="2168009"/>
    <n v="1.2999999999999999E-3"/>
    <n v="1.08"/>
    <n v="212398"/>
    <n v="4253"/>
    <n v="9.7969150497068974E-2"/>
    <n v="1.9617077235380481E-3"/>
    <n v="7464"/>
    <n v="3.3999999999999998E-3"/>
  </r>
  <r>
    <s v="AE"/>
    <x v="7"/>
    <s v="Interests"/>
    <s v="AR"/>
    <s v="Video"/>
    <s v="9x16"/>
    <n v="458.54"/>
    <n v="0"/>
    <n v="543248"/>
    <n v="615975"/>
    <n v="0"/>
    <n v="0.74"/>
    <n v="66295"/>
    <n v="1350"/>
    <n v="0.10762612118998335"/>
    <n v="2.1916473882868624E-3"/>
    <n v="1099"/>
    <n v="1.8E-3"/>
  </r>
  <r>
    <s v="AE"/>
    <x v="7"/>
    <s v="Interests"/>
    <s v="EN"/>
    <s v="Video"/>
    <s v="9x16"/>
    <n v="419.66"/>
    <n v="0"/>
    <n v="511710"/>
    <n v="578351"/>
    <n v="0"/>
    <n v="0.73"/>
    <n v="52042"/>
    <n v="1188"/>
    <n v="8.9983418373963217E-2"/>
    <n v="2.0541159261417375E-3"/>
    <n v="869"/>
    <n v="1.5E-3"/>
  </r>
  <r>
    <s v="AE"/>
    <x v="7"/>
    <s v="Interests"/>
    <s v="AR"/>
    <s v="Video"/>
    <s v="9x16"/>
    <n v="384.37"/>
    <n v="0"/>
    <n v="486294"/>
    <n v="543093"/>
    <n v="0"/>
    <n v="0.71"/>
    <n v="50004"/>
    <n v="849"/>
    <n v="9.2072628444851992E-2"/>
    <n v="1.5632681695400235E-3"/>
    <n v="937"/>
    <n v="1.6999999999999999E-3"/>
  </r>
  <r>
    <s v="AE"/>
    <x v="7"/>
    <s v="Interests"/>
    <s v="EN"/>
    <s v="Video"/>
    <s v="9x16"/>
    <n v="360.73"/>
    <n v="0"/>
    <n v="467501"/>
    <n v="522000"/>
    <n v="0"/>
    <n v="0.69"/>
    <n v="43072"/>
    <n v="814"/>
    <n v="8.2513409961685824E-2"/>
    <n v="1.5593869731800767E-3"/>
    <n v="821"/>
    <n v="1.6000000000000001E-3"/>
  </r>
  <r>
    <s v="AE"/>
    <x v="7"/>
    <s v="CDP"/>
    <s v="AR"/>
    <s v="Video"/>
    <s v="9x16"/>
    <n v="59.88"/>
    <n v="21"/>
    <n v="6047"/>
    <n v="7626"/>
    <n v="2.8E-3"/>
    <n v="7.85"/>
    <n v="1650"/>
    <n v="42"/>
    <n v="0.21636506687647522"/>
    <n v="5.5074744295830055E-3"/>
    <n v="60"/>
    <n v="7.9000000000000008E-3"/>
  </r>
  <r>
    <s v="AE"/>
    <x v="7"/>
    <s v="CDP"/>
    <s v="EN"/>
    <s v="Video"/>
    <s v="9x16"/>
    <n v="58.99"/>
    <n v="18"/>
    <n v="6013"/>
    <n v="7694"/>
    <n v="2.3E-3"/>
    <n v="7.67"/>
    <n v="1483"/>
    <n v="58"/>
    <n v="0.19274759552898363"/>
    <n v="7.5383415648557321E-3"/>
    <n v="54"/>
    <n v="6.9999999999999993E-3"/>
  </r>
  <r>
    <s v="AE"/>
    <x v="7"/>
    <s v="CDP"/>
    <s v="EN"/>
    <s v="Video"/>
    <s v="9x16"/>
    <n v="58.95"/>
    <n v="27"/>
    <n v="6081"/>
    <n v="7686"/>
    <n v="3.5000000000000001E-3"/>
    <n v="7.67"/>
    <n v="1521"/>
    <n v="37"/>
    <n v="0.19789227166276346"/>
    <n v="4.813947436898257E-3"/>
    <n v="74"/>
    <n v="9.5999999999999992E-3"/>
  </r>
  <r>
    <s v="AE"/>
    <x v="7"/>
    <s v="CDP"/>
    <s v="AR"/>
    <s v="Video"/>
    <s v="9x16"/>
    <n v="57.35"/>
    <n v="20"/>
    <n v="5940"/>
    <n v="7501"/>
    <n v="2.7000000000000001E-3"/>
    <n v="7.65"/>
    <n v="1528"/>
    <n v="29"/>
    <n v="0.20370617251033196"/>
    <n v="3.8661511798426876E-3"/>
    <n v="51"/>
    <n v="6.7999999999999996E-3"/>
  </r>
  <r>
    <s v="AE"/>
    <x v="7"/>
    <s v="CDP"/>
    <s v="AR"/>
    <s v="Video"/>
    <s v="9x16"/>
    <n v="23.11"/>
    <n v="0"/>
    <n v="4565"/>
    <n v="5549"/>
    <n v="0"/>
    <n v="4.16"/>
    <n v="1125"/>
    <n v="31"/>
    <n v="0.20273923229410704"/>
    <n v="5.5865921787709499E-3"/>
    <n v="39"/>
    <n v="6.9999999999999993E-3"/>
  </r>
  <r>
    <s v="AE"/>
    <x v="7"/>
    <s v="CDP"/>
    <s v="AR"/>
    <s v="Video"/>
    <s v="9x16"/>
    <n v="22.17"/>
    <n v="0"/>
    <n v="4476"/>
    <n v="5600"/>
    <n v="0"/>
    <n v="3.96"/>
    <n v="1202"/>
    <n v="29"/>
    <n v="0.21464285714285714"/>
    <n v="5.1785714285714282E-3"/>
    <n v="39"/>
    <n v="6.9999999999999993E-3"/>
  </r>
  <r>
    <s v="AE"/>
    <x v="7"/>
    <s v="CDP"/>
    <s v="EN"/>
    <s v="Video"/>
    <s v="9x16"/>
    <n v="21.35"/>
    <n v="0"/>
    <n v="3915"/>
    <n v="4782"/>
    <n v="0"/>
    <n v="4.46"/>
    <n v="937"/>
    <n v="30"/>
    <n v="0.19594312003345882"/>
    <n v="6.2735257214554582E-3"/>
    <n v="34"/>
    <n v="7.1000000000000004E-3"/>
  </r>
  <r>
    <s v="AE"/>
    <x v="7"/>
    <s v="CDP"/>
    <s v="EN"/>
    <s v="Video"/>
    <s v="9x16"/>
    <n v="21.12"/>
    <n v="0"/>
    <n v="4099"/>
    <n v="4996"/>
    <n v="0"/>
    <n v="4.2300000000000004"/>
    <n v="1001"/>
    <n v="32"/>
    <n v="0.20036028823058447"/>
    <n v="6.4051240992794231E-3"/>
    <n v="28"/>
    <n v="5.6000000000000008E-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6">
  <r>
    <s v="RIY"/>
    <s v="Social_MK~RIY_TG"/>
    <s v="Interests"/>
    <s v="AR"/>
    <s v="Video"/>
    <s v="16x9"/>
    <n v="679301"/>
    <n v="6014321"/>
    <n v="5022.12"/>
    <n v="26667"/>
    <n v="1174872"/>
    <n v="17334"/>
    <n v="4.4339169791569157E-3"/>
    <n v="0.19534574227082327"/>
    <n v="1191803"/>
    <n v="1.75445495"/>
    <x v="0"/>
    <n v="3.9256529874091159E-2"/>
    <s v="Bad"/>
  </r>
  <r>
    <s v="RIY"/>
    <s v="Social_MK~RIY_TG"/>
    <s v="Interests"/>
    <s v="AR"/>
    <s v="Video"/>
    <s v="1x1"/>
    <n v="782299"/>
    <n v="4944626"/>
    <n v="2394.12"/>
    <n v="18676"/>
    <n v="268649"/>
    <n v="7782"/>
    <n v="3.7770298501848269E-3"/>
    <n v="5.4331510613745103E-2"/>
    <n v="272564"/>
    <n v="0.3484141"/>
    <x v="0"/>
    <n v="2.3873224943403989E-2"/>
    <s v="Bad"/>
  </r>
  <r>
    <s v="RIY"/>
    <s v="Social_MK~RIY_TG"/>
    <s v="Interests"/>
    <s v="AR"/>
    <s v="Video"/>
    <s v="16x9"/>
    <n v="618233"/>
    <n v="3698744"/>
    <n v="1817.1"/>
    <n v="15163"/>
    <n v="247959"/>
    <n v="8277"/>
    <n v="4.0994997220678156E-3"/>
    <n v="6.7038702867784308E-2"/>
    <n v="252826"/>
    <n v="0.40894937999999997"/>
    <x v="0"/>
    <n v="2.452635171529181E-2"/>
    <s v="Bad"/>
  </r>
  <r>
    <s v="KW"/>
    <s v="Social_MK~KW_TG"/>
    <s v="Interests"/>
    <s v="AR"/>
    <s v="Video"/>
    <s v="16x9"/>
    <n v="451331"/>
    <n v="2835346"/>
    <n v="1613.83"/>
    <n v="9696"/>
    <n v="517974"/>
    <n v="7711"/>
    <n v="3.41968846130243E-3"/>
    <n v="0.18268458241075339"/>
    <n v="524690"/>
    <n v="1.16253925"/>
    <x v="0"/>
    <n v="2.1483124358840849E-2"/>
    <s v="Bad"/>
  </r>
  <r>
    <s v="JED"/>
    <s v="Social_MK~JED_TG"/>
    <s v="Interests"/>
    <s v="AR"/>
    <s v="Video"/>
    <s v="16x9"/>
    <n v="572164"/>
    <n v="2890910"/>
    <n v="1533.7"/>
    <n v="12938"/>
    <n v="479638"/>
    <n v="7803"/>
    <n v="4.4754073976706298E-3"/>
    <n v="0.16591246354953976"/>
    <n v="487419"/>
    <n v="0.85188686999999996"/>
    <x v="0"/>
    <n v="2.261239784397481E-2"/>
    <s v="Bad"/>
  </r>
  <r>
    <s v="QA"/>
    <s v="Social_MK~QA_TG"/>
    <s v="Interests"/>
    <s v="AR"/>
    <s v="Video"/>
    <s v="16x9"/>
    <n v="456578"/>
    <n v="2296226"/>
    <n v="967.61"/>
    <n v="10599"/>
    <n v="318547"/>
    <n v="8571"/>
    <n v="4.6158348524927423E-3"/>
    <n v="0.13872632746079872"/>
    <n v="325628"/>
    <n v="0.71319248999999996"/>
    <x v="0"/>
    <n v="2.321399629417098E-2"/>
    <s v="Bad"/>
  </r>
  <r>
    <s v="KW"/>
    <s v="Social_MK~KW_TG"/>
    <s v="Interests"/>
    <s v="AR"/>
    <s v="Video"/>
    <s v="1x1"/>
    <n v="294721"/>
    <n v="1118842"/>
    <n v="837.03"/>
    <n v="9408"/>
    <n v="358257"/>
    <n v="7123"/>
    <n v="8.4086939889635899E-3"/>
    <n v="0.32020338886098304"/>
    <n v="365767"/>
    <n v="1.2410618899999999"/>
    <x v="0"/>
    <n v="3.1921715792223831E-2"/>
    <s v="Bad"/>
  </r>
  <r>
    <s v="RIY"/>
    <s v="Social_MK~RIY_TG"/>
    <s v="Interests"/>
    <s v="AR"/>
    <s v="Video"/>
    <s v="1x1"/>
    <n v="453492"/>
    <n v="1693662"/>
    <n v="812.65"/>
    <n v="6074"/>
    <n v="93083"/>
    <n v="4325"/>
    <n v="3.5863117906642528E-3"/>
    <n v="5.495960823352003E-2"/>
    <n v="94004"/>
    <n v="0.20728921"/>
    <x v="0"/>
    <n v="1.339384156721618E-2"/>
    <s v="Bad"/>
  </r>
  <r>
    <s v="RIY"/>
    <s v="Social_MK~RIY_TG"/>
    <s v="Interests"/>
    <s v="AR"/>
    <s v="Video"/>
    <s v="16x9"/>
    <n v="153185"/>
    <n v="1020810"/>
    <n v="774.33"/>
    <n v="2761"/>
    <n v="170898"/>
    <n v="1612"/>
    <n v="2.7047148832789647E-3"/>
    <n v="0.16741411232256737"/>
    <n v="172555"/>
    <n v="1.1264484100000001"/>
    <x v="0"/>
    <n v="1.802395795933022E-2"/>
    <s v="Bad"/>
  </r>
  <r>
    <s v="RIY"/>
    <s v="Social_MK~RIY_TG"/>
    <s v="Interests"/>
    <s v="AR"/>
    <s v="Video"/>
    <s v="1x1"/>
    <n v="166691"/>
    <n v="384737"/>
    <n v="660.57"/>
    <n v="4500"/>
    <n v="271653"/>
    <n v="1024"/>
    <n v="1.1696301629424775E-2"/>
    <n v="0.7060745392306953"/>
    <n v="275911"/>
    <n v="1.65522434"/>
    <x v="0"/>
    <n v="2.6996058575447981E-2"/>
    <s v="Bad"/>
  </r>
  <r>
    <s v="JED"/>
    <s v="Social_MK~JED_TG"/>
    <s v="Interests"/>
    <s v="AR"/>
    <s v="Video"/>
    <s v="16x9"/>
    <n v="627297"/>
    <n v="2379089"/>
    <n v="659.13"/>
    <n v="8917"/>
    <n v="135957"/>
    <n v="4086"/>
    <n v="3.7480733171394599E-3"/>
    <n v="5.7146664122275377E-2"/>
    <n v="137328"/>
    <n v="0.21892022"/>
    <x v="0"/>
    <n v="1.4214957189337751E-2"/>
    <s v="Bad"/>
  </r>
  <r>
    <s v="RIY"/>
    <s v="Social_MK~RIY_TG"/>
    <s v="Interests"/>
    <s v="AR"/>
    <s v="Video"/>
    <s v="16x9"/>
    <n v="274884"/>
    <n v="871077"/>
    <n v="639.01"/>
    <n v="4412"/>
    <n v="153505"/>
    <n v="4221"/>
    <n v="5.0649942542392926E-3"/>
    <n v="0.17622437511264791"/>
    <n v="156507"/>
    <n v="0.56935652999999997"/>
    <x v="0"/>
    <n v="1.605040671701518E-2"/>
    <s v="Bad"/>
  </r>
  <r>
    <s v="JED"/>
    <s v="Social_MK~JED_TG"/>
    <s v="Interests"/>
    <s v="EN"/>
    <s v="Video"/>
    <s v="16x9"/>
    <n v="336515"/>
    <n v="1435006"/>
    <n v="631.9"/>
    <n v="5757"/>
    <n v="197754"/>
    <n v="6812"/>
    <n v="4.0118299156937324E-3"/>
    <n v="0.13780708930833738"/>
    <n v="201450"/>
    <n v="0.59863602000000005"/>
    <x v="0"/>
    <n v="1.7107706937283629E-2"/>
    <s v="Bad"/>
  </r>
  <r>
    <s v="RIY"/>
    <s v="Social_MK~RIY_TG"/>
    <s v="Interests"/>
    <s v="AR"/>
    <s v="Video"/>
    <s v="1x1"/>
    <n v="184035"/>
    <n v="543960"/>
    <n v="597.04"/>
    <n v="5011"/>
    <n v="184122"/>
    <n v="2094"/>
    <n v="9.2120744172365619E-3"/>
    <n v="0.33848444738583722"/>
    <n v="188072"/>
    <n v="1.0219360399999999"/>
    <x v="0"/>
    <n v="2.7228516314831419E-2"/>
    <s v="Bad"/>
  </r>
  <r>
    <s v="RIY"/>
    <s v="Social_MK~RIY_TG"/>
    <s v="Interests"/>
    <s v="AR"/>
    <s v="Video"/>
    <s v="1x1"/>
    <n v="300537"/>
    <n v="1037101"/>
    <n v="493.06"/>
    <n v="3147"/>
    <n v="33878"/>
    <n v="30016"/>
    <n v="3.0344199841674051E-3"/>
    <n v="3.2666056632864107E-2"/>
    <n v="34933"/>
    <n v="0.11623527"/>
    <x v="0"/>
    <n v="1.0471256450952791E-2"/>
    <s v="Bad"/>
  </r>
  <r>
    <s v="BH"/>
    <s v="Social_MK~BH_TG"/>
    <s v="Interests"/>
    <s v="AR"/>
    <s v="Video"/>
    <s v="16x9"/>
    <n v="199617"/>
    <n v="917627"/>
    <n v="447.62"/>
    <n v="4333"/>
    <n v="181384"/>
    <n v="2742"/>
    <n v="4.721962191609445E-3"/>
    <n v="0.19766637206620991"/>
    <n v="184422"/>
    <n v="0.92387923000000005"/>
    <x v="0"/>
    <n v="2.170656807786912E-2"/>
    <s v="Bad"/>
  </r>
  <r>
    <s v="QA"/>
    <s v="Social_MK~QA_TG"/>
    <s v="Interests"/>
    <s v="AR"/>
    <s v="Video"/>
    <s v="1x1"/>
    <n v="253378"/>
    <n v="737111"/>
    <n v="418.6"/>
    <n v="5663"/>
    <n v="223538"/>
    <n v="3000"/>
    <n v="7.6826963645909505E-3"/>
    <n v="0.30326233091081262"/>
    <n v="228050"/>
    <n v="0.90003867999999998"/>
    <x v="0"/>
    <n v="2.235000670934335E-2"/>
    <s v="Bad"/>
  </r>
  <r>
    <s v="RIY"/>
    <s v="Social_MK~RIY_TG"/>
    <s v="CDP"/>
    <s v="AR"/>
    <s v="Video"/>
    <s v="16x9"/>
    <n v="11104"/>
    <n v="192279"/>
    <n v="412.21"/>
    <n v="1331"/>
    <n v="40337"/>
    <n v="627"/>
    <n v="6.9222327971333319E-3"/>
    <n v="0.20978369972799943"/>
    <n v="41316"/>
    <n v="3.7208213300000001"/>
    <x v="1"/>
    <n v="0.1198667146974063"/>
    <s v="Bad"/>
  </r>
  <r>
    <s v="JED"/>
    <s v="Social_MK~JED_TG"/>
    <s v="Interests"/>
    <s v="EN"/>
    <s v="Video"/>
    <s v="1x1"/>
    <n v="479356"/>
    <n v="1530173"/>
    <n v="410.74"/>
    <n v="5623"/>
    <n v="64038"/>
    <n v="3434"/>
    <n v="3.6747478879839077E-3"/>
    <n v="4.1850169882751823E-2"/>
    <n v="64862"/>
    <n v="0.13531071"/>
    <x v="0"/>
    <n v="1.173032151469889E-2"/>
    <s v="Bad"/>
  </r>
  <r>
    <s v="OM"/>
    <s v="Social_MK~OM_TG"/>
    <s v="Interests"/>
    <s v="AR"/>
    <s v="Video"/>
    <s v="16x9"/>
    <n v="279681"/>
    <n v="1038201"/>
    <n v="402.21"/>
    <n v="4540"/>
    <n v="151523"/>
    <n v="2519"/>
    <n v="4.3729489761616487E-3"/>
    <n v="0.14594765368170518"/>
    <n v="154401"/>
    <n v="0.55206109999999997"/>
    <x v="0"/>
    <n v="1.6232779488059609E-2"/>
    <s v="Bad"/>
  </r>
  <r>
    <s v="QA"/>
    <s v="Social_MK~QA_TG"/>
    <s v="Interests"/>
    <s v="AR"/>
    <s v="Static"/>
    <s v="1x1"/>
    <n v="360056"/>
    <n v="1438856"/>
    <n v="379.39"/>
    <n v="3591"/>
    <n v="0"/>
    <n v="0"/>
    <n v="2.4957327209950129E-3"/>
    <n v="0"/>
    <n v="2354"/>
    <n v="6.5378700000000003E-3"/>
    <x v="0"/>
    <n v="9.973448574666163E-3"/>
    <s v="Bad"/>
  </r>
  <r>
    <s v="KW"/>
    <s v="Social_MK~KW_TG"/>
    <s v="Interests"/>
    <s v="EN"/>
    <s v="Video"/>
    <s v="1x1"/>
    <n v="325566"/>
    <n v="1054459"/>
    <n v="362.25"/>
    <n v="3112"/>
    <n v="43765"/>
    <n v="1865"/>
    <n v="2.9512764365423405E-3"/>
    <n v="4.1504695772903451E-2"/>
    <n v="44847"/>
    <n v="0.13775087"/>
    <x v="0"/>
    <n v="9.5587377060258136E-3"/>
    <s v="Bad"/>
  </r>
  <r>
    <s v="OM"/>
    <s v="Social_MK~OM_TG"/>
    <s v="Interests"/>
    <s v="AR"/>
    <s v="Video"/>
    <s v="16x9"/>
    <n v="270978"/>
    <n v="992375"/>
    <n v="362.06"/>
    <n v="5149"/>
    <n v="130705"/>
    <n v="4015"/>
    <n v="5.1885627912835368E-3"/>
    <n v="0.1317092832850485"/>
    <n v="134087"/>
    <n v="0.49482615000000002"/>
    <x v="0"/>
    <n v="1.9001542560650678E-2"/>
    <s v="Bad"/>
  </r>
  <r>
    <s v="KW"/>
    <s v="Social_MK~KW_TG"/>
    <s v="Interests"/>
    <s v="EN"/>
    <s v="Video"/>
    <s v="16x9"/>
    <n v="290734"/>
    <n v="1058827"/>
    <n v="346"/>
    <n v="3600"/>
    <n v="53762"/>
    <n v="2562"/>
    <n v="3.3999888555920846E-3"/>
    <n v="5.0775055792872677E-2"/>
    <n v="54659"/>
    <n v="0.18800347000000001"/>
    <x v="0"/>
    <n v="1.238245268871202E-2"/>
    <s v="Bad"/>
  </r>
  <r>
    <s v="JED"/>
    <s v="Social_MK~JED_TG"/>
    <s v="Interests"/>
    <s v="AR"/>
    <s v="Video"/>
    <s v="16x9"/>
    <n v="287236"/>
    <n v="723097"/>
    <n v="339.29"/>
    <n v="3639"/>
    <n v="106020"/>
    <n v="3058"/>
    <n v="5.0325198417363092E-3"/>
    <n v="0.14661933322915183"/>
    <n v="108445"/>
    <n v="0.37754669000000002"/>
    <x v="0"/>
    <n v="1.266902477405339E-2"/>
    <s v="Bad"/>
  </r>
  <r>
    <s v="KW"/>
    <s v="Social_MK~KW_TG"/>
    <s v="Interests"/>
    <s v="EN"/>
    <s v="Video"/>
    <s v="1x1"/>
    <n v="126754"/>
    <n v="273187"/>
    <n v="331.31"/>
    <n v="2582"/>
    <n v="217862"/>
    <n v="264"/>
    <n v="9.4514014210046599E-3"/>
    <n v="0.79748304275093618"/>
    <n v="220354"/>
    <n v="1.7384382300000001"/>
    <x v="0"/>
    <n v="2.0370165833030911E-2"/>
    <s v="Bad"/>
  </r>
  <r>
    <s v="KW"/>
    <s v="Social_MK~KW_TG"/>
    <s v="Interests"/>
    <s v="AR"/>
    <s v="Video"/>
    <s v="16x9"/>
    <n v="317428"/>
    <n v="963960"/>
    <n v="315.75"/>
    <n v="3418"/>
    <n v="68252"/>
    <n v="2149"/>
    <n v="3.5457902817544297E-3"/>
    <n v="7.0803767791194655E-2"/>
    <n v="68563"/>
    <n v="0.21599544000000001"/>
    <x v="0"/>
    <n v="1.076779616164926E-2"/>
    <s v="Bad"/>
  </r>
  <r>
    <s v="KW"/>
    <s v="Social_MK~KW_TG"/>
    <s v="Interests"/>
    <s v="AR"/>
    <s v="Static"/>
    <s v="1x1"/>
    <n v="230653"/>
    <n v="930094"/>
    <n v="310.16000000000003"/>
    <n v="2632"/>
    <n v="0"/>
    <n v="0"/>
    <n v="2.8298215019127099E-3"/>
    <n v="0"/>
    <n v="1627"/>
    <n v="7.0538900000000002E-3"/>
    <x v="0"/>
    <n v="1.1411080714319779E-2"/>
    <s v="Bad"/>
  </r>
  <r>
    <s v="JED"/>
    <s v="Social_MK~JED_TG"/>
    <s v="Interests"/>
    <s v="AR"/>
    <s v="Static"/>
    <s v="1x1"/>
    <n v="331260"/>
    <n v="1102753"/>
    <n v="308.31"/>
    <n v="3087"/>
    <n v="0"/>
    <n v="0"/>
    <n v="2.7993576077326473E-3"/>
    <n v="0"/>
    <n v="2006"/>
    <n v="6.05567E-3"/>
    <x v="0"/>
    <n v="9.3189639558051082E-3"/>
    <s v="Bad"/>
  </r>
  <r>
    <s v="OM"/>
    <s v="Social_MK~OM_TG"/>
    <s v="Interests"/>
    <s v="EN"/>
    <s v="Video"/>
    <s v="16x9"/>
    <n v="213313"/>
    <n v="799838"/>
    <n v="296.19"/>
    <n v="3366"/>
    <n v="109739"/>
    <n v="3200"/>
    <n v="4.2083521913187424E-3"/>
    <n v="0.13720153331049537"/>
    <n v="111841"/>
    <n v="0.52430465999999998"/>
    <x v="0"/>
    <n v="1.5779628995888671E-2"/>
    <s v="Bad"/>
  </r>
  <r>
    <s v="JED"/>
    <s v="Social_MK~JED_TG"/>
    <s v="Interests"/>
    <s v="AR"/>
    <s v="Video"/>
    <s v="1x1"/>
    <n v="138112"/>
    <n v="421925"/>
    <n v="275.41000000000003"/>
    <n v="3275"/>
    <n v="102084"/>
    <n v="1793"/>
    <n v="7.7620430171238966E-3"/>
    <n v="0.24194821354506132"/>
    <n v="104545"/>
    <n v="0.75695811999999996"/>
    <x v="0"/>
    <n v="2.3712639017608901E-2"/>
    <s v="Bad"/>
  </r>
  <r>
    <s v="KW"/>
    <s v="Social_MK~KW_TG"/>
    <s v="Interests"/>
    <s v="AR"/>
    <s v="Static"/>
    <s v="1x1"/>
    <n v="261952"/>
    <n v="787533"/>
    <n v="269.08"/>
    <n v="1716"/>
    <n v="0"/>
    <n v="0"/>
    <n v="2.178956310402231E-3"/>
    <n v="0"/>
    <n v="1145"/>
    <n v="4.3710299999999997E-3"/>
    <x v="0"/>
    <n v="6.5508184705594906E-3"/>
    <s v="Bad"/>
  </r>
  <r>
    <s v="QA"/>
    <s v="Social_MK~QA_TG"/>
    <s v="Interests"/>
    <s v="AR"/>
    <s v="Video"/>
    <s v="16x9"/>
    <n v="304182"/>
    <n v="1058536"/>
    <n v="269.02"/>
    <n v="4284"/>
    <n v="55163"/>
    <n v="1757"/>
    <n v="4.0470990122206518E-3"/>
    <n v="5.2112540338731986E-2"/>
    <n v="55463"/>
    <n v="0.18233492000000001"/>
    <x v="0"/>
    <n v="1.4083673590153259E-2"/>
    <s v="Bad"/>
  </r>
  <r>
    <s v="QA"/>
    <s v="Social_MK~QA_TG"/>
    <s v="Interests"/>
    <s v="EN"/>
    <s v="Video"/>
    <s v="16x9"/>
    <n v="153249"/>
    <n v="580815"/>
    <n v="264.85000000000002"/>
    <n v="1741"/>
    <n v="102494"/>
    <n v="2314"/>
    <n v="2.997512116594785E-3"/>
    <n v="0.17646582818969897"/>
    <n v="103529"/>
    <n v="0.67556068999999996"/>
    <x v="0"/>
    <n v="1.136059615397164E-2"/>
    <s v="Bad"/>
  </r>
  <r>
    <s v="JED"/>
    <s v="Social_MK~JED_TG"/>
    <s v="Interests"/>
    <s v="EN"/>
    <s v="Video"/>
    <s v="1x1"/>
    <n v="406400"/>
    <n v="931135"/>
    <n v="262.14999999999998"/>
    <n v="2955"/>
    <n v="33857"/>
    <n v="1080"/>
    <n v="3.1735462634311889E-3"/>
    <n v="3.6361000284598904E-2"/>
    <n v="35071"/>
    <n v="8.6296750000000005E-2"/>
    <x v="0"/>
    <n v="7.2711614173228342E-3"/>
    <s v="Bad"/>
  </r>
  <r>
    <s v="KW"/>
    <s v="Social_MK~KW_TG"/>
    <s v="Interests"/>
    <s v="EN"/>
    <s v="Video"/>
    <s v="16x9"/>
    <n v="145185"/>
    <n v="516329"/>
    <n v="244.29"/>
    <n v="1492"/>
    <n v="72873"/>
    <n v="2380"/>
    <n v="2.889630448802992E-3"/>
    <n v="0.14113675582816382"/>
    <n v="73755"/>
    <n v="0.50800703000000003"/>
    <x v="0"/>
    <n v="1.027654372008127E-2"/>
    <s v="Bad"/>
  </r>
  <r>
    <s v="QA"/>
    <s v="Social_MK~QA_TG"/>
    <s v="Interests"/>
    <s v="EN"/>
    <s v="Static"/>
    <s v="1x1"/>
    <n v="280577"/>
    <n v="837278"/>
    <n v="228.24"/>
    <n v="1948"/>
    <n v="0"/>
    <n v="0"/>
    <n v="2.326586868399743E-3"/>
    <n v="0"/>
    <n v="1251"/>
    <n v="4.4586699999999996E-3"/>
    <x v="0"/>
    <n v="6.9428356565220959E-3"/>
    <s v="Bad"/>
  </r>
  <r>
    <s v="BH"/>
    <s v="Social_MK~BH_TG"/>
    <s v="Interests"/>
    <s v="EN"/>
    <s v="Video"/>
    <s v="1x1"/>
    <n v="74032"/>
    <n v="211900"/>
    <n v="219.21"/>
    <n v="2192"/>
    <n v="162292"/>
    <n v="271"/>
    <n v="1.0344502123643228E-2"/>
    <n v="0.76588957055214724"/>
    <n v="164416"/>
    <n v="2.2208774600000001"/>
    <x v="0"/>
    <n v="2.960881780851524E-2"/>
    <s v="Bad"/>
  </r>
  <r>
    <s v="KW"/>
    <s v="Social_MK~KW_TG"/>
    <s v="Interests"/>
    <s v="EN"/>
    <s v="Video"/>
    <s v="1x1"/>
    <n v="240706"/>
    <n v="652991"/>
    <n v="217.65"/>
    <n v="2074"/>
    <n v="27876"/>
    <n v="1630"/>
    <n v="3.1761540358136637E-3"/>
    <n v="4.2689715478467546E-2"/>
    <n v="28449"/>
    <n v="0.11818982"/>
    <x v="0"/>
    <n v="8.6163203243791175E-3"/>
    <s v="Bad"/>
  </r>
  <r>
    <s v="BH"/>
    <s v="Social_MK~BH_TG"/>
    <s v="Interests"/>
    <s v="EN"/>
    <s v="Video"/>
    <s v="1x1"/>
    <n v="183997"/>
    <n v="712777"/>
    <n v="197.06"/>
    <n v="2690"/>
    <n v="41795"/>
    <n v="1498"/>
    <n v="3.7739713823538076E-3"/>
    <n v="5.8636852760400517E-2"/>
    <n v="42093"/>
    <n v="0.22877003000000001"/>
    <x v="0"/>
    <n v="1.461980358375408E-2"/>
    <s v="Bad"/>
  </r>
  <r>
    <s v="BH"/>
    <s v="Social_MK~BH_TG"/>
    <s v="Interests"/>
    <s v="EN"/>
    <s v="Video"/>
    <s v="16x9"/>
    <n v="98337"/>
    <n v="449651"/>
    <n v="195.85"/>
    <n v="1631"/>
    <n v="73604"/>
    <n v="1944"/>
    <n v="3.6272575842153138E-3"/>
    <n v="0.16369139621617654"/>
    <n v="74652"/>
    <n v="0.75914457000000002"/>
    <x v="0"/>
    <n v="1.6585822223578101E-2"/>
    <s v="Bad"/>
  </r>
  <r>
    <s v="JED"/>
    <s v="Social_MK~JED_TG"/>
    <s v="Interests"/>
    <s v="EN"/>
    <s v="Video"/>
    <s v="1x1"/>
    <n v="98082"/>
    <n v="169985"/>
    <n v="192.92"/>
    <n v="2219"/>
    <n v="126826"/>
    <n v="269"/>
    <n v="1.3054093008206607E-2"/>
    <n v="0.7461011265699915"/>
    <n v="128951"/>
    <n v="1.31472645"/>
    <x v="0"/>
    <n v="2.2623926918292861E-2"/>
    <s v="Bad"/>
  </r>
  <r>
    <s v="RIY"/>
    <s v="Social_MK~RIY_TG"/>
    <s v="CDP"/>
    <s v="AR"/>
    <s v="Video"/>
    <s v="1x1"/>
    <n v="8500"/>
    <n v="117298"/>
    <n v="190.57"/>
    <n v="593"/>
    <n v="8060"/>
    <n v="223"/>
    <n v="5.055499667513513E-3"/>
    <n v="6.8713874064348923E-2"/>
    <n v="8190"/>
    <n v="0.96352941000000003"/>
    <x v="1"/>
    <n v="6.9764705882352937E-2"/>
    <s v="Bad"/>
  </r>
  <r>
    <s v="KW"/>
    <s v="Social_MK~KW_TG"/>
    <s v="Interests"/>
    <s v="EN"/>
    <s v="Video"/>
    <s v="16x9"/>
    <n v="190832"/>
    <n v="566544"/>
    <n v="190.02"/>
    <n v="2073"/>
    <n v="34460"/>
    <n v="1773"/>
    <n v="3.6590273659239175E-3"/>
    <n v="6.0824931514586685E-2"/>
    <n v="34666"/>
    <n v="0.18165716000000001"/>
    <x v="0"/>
    <n v="1.086295799446634E-2"/>
    <s v="Bad"/>
  </r>
  <r>
    <s v="JED"/>
    <s v="Social_MK~JED_TG"/>
    <s v="CDP"/>
    <s v="AR"/>
    <s v="Video"/>
    <s v="16x9"/>
    <n v="5990"/>
    <n v="79353"/>
    <n v="184.8"/>
    <n v="540"/>
    <n v="15784"/>
    <n v="293"/>
    <n v="6.8050357264375638E-3"/>
    <n v="0.19890867390016762"/>
    <n v="16179"/>
    <n v="2.7010016700000001"/>
    <x v="1"/>
    <n v="9.0150250417362271E-2"/>
    <s v="Bad"/>
  </r>
  <r>
    <s v="QA"/>
    <s v="Social_MK~QA_TG"/>
    <s v="Interests"/>
    <s v="EN"/>
    <s v="Video"/>
    <s v="1x1"/>
    <n v="224572"/>
    <n v="711517"/>
    <n v="180.71"/>
    <n v="2903"/>
    <n v="26585"/>
    <n v="1556"/>
    <n v="4.0800149539645574E-3"/>
    <n v="3.7363829676592408E-2"/>
    <n v="26758"/>
    <n v="0.1191511"/>
    <x v="0"/>
    <n v="1.2926811891063889E-2"/>
    <s v="Bad"/>
  </r>
  <r>
    <s v="RIY"/>
    <s v="Social_MK~RIY_TG"/>
    <s v="Interests"/>
    <s v="AR"/>
    <s v="Video"/>
    <s v="16x9"/>
    <n v="167932"/>
    <n v="384260"/>
    <n v="179.24"/>
    <n v="1247"/>
    <n v="21049"/>
    <n v="1030"/>
    <n v="3.2451985634726487E-3"/>
    <n v="5.4778014885754435E-2"/>
    <n v="21353"/>
    <n v="0.12715266"/>
    <x v="0"/>
    <n v="7.4256246575995048E-3"/>
    <s v="Bad"/>
  </r>
  <r>
    <s v="OM"/>
    <s v="Social_MK~OM_TG"/>
    <s v="Interests"/>
    <s v="EN"/>
    <s v="Video"/>
    <s v="16x9"/>
    <n v="244092"/>
    <n v="866065"/>
    <n v="172.55"/>
    <n v="3539"/>
    <n v="44280"/>
    <n v="1677"/>
    <n v="4.0862983725240025E-3"/>
    <n v="5.1127802185748181E-2"/>
    <n v="44932"/>
    <n v="0.18407813000000001"/>
    <x v="0"/>
    <n v="1.4498631663471149E-2"/>
    <s v="Bad"/>
  </r>
  <r>
    <s v="OM"/>
    <s v="Social_MK~OM_TG"/>
    <s v="Interests"/>
    <s v="AR"/>
    <s v="Static"/>
    <s v="1x1"/>
    <n v="256449"/>
    <n v="836397"/>
    <n v="164.97"/>
    <n v="2419"/>
    <n v="0"/>
    <n v="0"/>
    <n v="2.8921672363722011E-3"/>
    <n v="0"/>
    <n v="1634"/>
    <n v="6.3716399999999996E-3"/>
    <x v="0"/>
    <n v="9.4326747228493778E-3"/>
    <s v="Bad"/>
  </r>
  <r>
    <s v="JED"/>
    <s v="Social_MK~JED_TG"/>
    <s v="Interests"/>
    <s v="EN"/>
    <s v="Video"/>
    <s v="16x9"/>
    <n v="270516"/>
    <n v="573917"/>
    <n v="161.28"/>
    <n v="2167"/>
    <n v="30585"/>
    <n v="961"/>
    <n v="3.7758073031466223E-3"/>
    <n v="5.3291678064946675E-2"/>
    <n v="31096"/>
    <n v="0.11495068999999999"/>
    <x v="0"/>
    <n v="8.010616747253398E-3"/>
    <s v="Bad"/>
  </r>
  <r>
    <s v="RIY"/>
    <s v="Social_MK~RIY_TG"/>
    <s v="Interests"/>
    <s v="AR"/>
    <s v="Video"/>
    <s v="9x16"/>
    <n v="160759"/>
    <n v="337379"/>
    <n v="161.22999999999999"/>
    <n v="269"/>
    <n v="28240"/>
    <n v="398"/>
    <n v="7.97322892059079E-4"/>
    <n v="8.3704083538098106E-2"/>
    <n v="28456"/>
    <n v="0.17701031"/>
    <x v="0"/>
    <n v="1.6733122251320299E-3"/>
    <s v="Bad"/>
  </r>
  <r>
    <s v="JED"/>
    <s v="Social_MK~JED_TG"/>
    <s v="Interests"/>
    <s v="AR"/>
    <s v="Video"/>
    <s v="1x1"/>
    <n v="255024"/>
    <n v="558614"/>
    <n v="158.44999999999999"/>
    <n v="1860"/>
    <n v="22655"/>
    <n v="733"/>
    <n v="3.3296695034496092E-3"/>
    <n v="4.0555732580995103E-2"/>
    <n v="23268"/>
    <n v="9.1238470000000002E-2"/>
    <x v="0"/>
    <n v="7.293431206474685E-3"/>
    <s v="Bad"/>
  </r>
  <r>
    <s v="KW"/>
    <s v="Social_MK~KW_TG"/>
    <s v="Interests"/>
    <s v="AR"/>
    <s v="Video"/>
    <s v="1x1"/>
    <n v="199424"/>
    <n v="471421"/>
    <n v="156.15"/>
    <n v="2150"/>
    <n v="33803"/>
    <n v="1176"/>
    <n v="4.5606793078797935E-3"/>
    <n v="7.1704484950818909E-2"/>
    <n v="34072"/>
    <n v="0.17085205000000001"/>
    <x v="0"/>
    <n v="1.078104942233633E-2"/>
    <s v="Bad"/>
  </r>
  <r>
    <s v="JED"/>
    <s v="Social_MK~JED_TG"/>
    <s v="Interests"/>
    <s v="AR"/>
    <s v="Static"/>
    <s v="1x1"/>
    <n v="197021"/>
    <n v="537940"/>
    <n v="152.9"/>
    <n v="1654"/>
    <n v="0"/>
    <n v="0"/>
    <n v="3.0746923448711754E-3"/>
    <n v="0"/>
    <n v="1118"/>
    <n v="5.6745199999999997E-3"/>
    <x v="0"/>
    <n v="8.3950441831073842E-3"/>
    <s v="Bad"/>
  </r>
  <r>
    <s v="RIY"/>
    <s v="Social_MK~RIY_TG"/>
    <s v="CDP"/>
    <s v="AR"/>
    <s v="Video"/>
    <s v="16x9"/>
    <n v="8678"/>
    <n v="92582"/>
    <n v="152.34"/>
    <n v="551"/>
    <n v="8812"/>
    <n v="283"/>
    <n v="5.9514808494091727E-3"/>
    <n v="9.5180488647901323E-2"/>
    <n v="9051"/>
    <n v="1.0429822500000001"/>
    <x v="1"/>
    <n v="6.349389260198203E-2"/>
    <s v="Bad"/>
  </r>
  <r>
    <s v="JED"/>
    <s v="Social_MK~JED_TG"/>
    <s v="Interests"/>
    <s v="AR"/>
    <s v="Video"/>
    <s v="1x1"/>
    <n v="98768"/>
    <n v="178283"/>
    <n v="149.79"/>
    <n v="1625"/>
    <n v="75894"/>
    <n v="1014"/>
    <n v="9.1147220991345222E-3"/>
    <n v="0.42569398091797872"/>
    <n v="77246"/>
    <n v="0.78209541999999999"/>
    <x v="0"/>
    <n v="1.6452697229872019E-2"/>
    <s v="Bad"/>
  </r>
  <r>
    <s v="BH"/>
    <s v="Social_MK~BH_TG"/>
    <s v="Interests"/>
    <s v="AR"/>
    <s v="Video"/>
    <s v="1x1"/>
    <n v="91760"/>
    <n v="194144"/>
    <n v="143.31"/>
    <n v="1354"/>
    <n v="88318"/>
    <n v="838"/>
    <n v="6.9742047140267018E-3"/>
    <n v="0.45490975770562059"/>
    <n v="89625"/>
    <n v="0.97673277999999997"/>
    <x v="0"/>
    <n v="1.4755884917175241E-2"/>
    <s v="Bad"/>
  </r>
  <r>
    <s v="KW"/>
    <s v="Social_MK~KW_TG"/>
    <s v="Interests"/>
    <s v="EN"/>
    <s v="Static"/>
    <s v="1x1"/>
    <n v="168096"/>
    <n v="406893"/>
    <n v="140.93"/>
    <n v="879"/>
    <n v="0"/>
    <n v="0"/>
    <n v="2.1602730939092097E-3"/>
    <n v="0"/>
    <n v="525"/>
    <n v="3.1232199999999999E-3"/>
    <x v="0"/>
    <n v="5.2291547687035979E-3"/>
    <s v="Bad"/>
  </r>
  <r>
    <s v="RIY"/>
    <s v="Social_MK~RIY_TG"/>
    <s v="CDP"/>
    <s v="AR"/>
    <s v="Video"/>
    <s v="1x1"/>
    <n v="6254"/>
    <n v="32438"/>
    <n v="139.19999999999999"/>
    <n v="755"/>
    <n v="23370"/>
    <n v="114"/>
    <n v="2.3275171095628582E-2"/>
    <n v="0.72045132252296684"/>
    <n v="24100"/>
    <n v="3.85353374"/>
    <x v="1"/>
    <n v="0.1207227374480333"/>
    <s v="Good"/>
  </r>
  <r>
    <s v="RIY"/>
    <s v="Social_MK~RIY_TG"/>
    <s v="Interests"/>
    <s v="AR"/>
    <s v="Video"/>
    <s v="1x1"/>
    <n v="118363"/>
    <n v="296643"/>
    <n v="137.25"/>
    <n v="1025"/>
    <n v="12397"/>
    <n v="373"/>
    <n v="3.4553318298426055E-3"/>
    <n v="4.1790974336154904E-2"/>
    <n v="12605"/>
    <n v="0.10649443"/>
    <x v="0"/>
    <n v="8.659800782339076E-3"/>
    <s v="Bad"/>
  </r>
  <r>
    <s v="BH"/>
    <s v="Social_MK~BH_TG"/>
    <s v="Interests"/>
    <s v="AR"/>
    <s v="Static"/>
    <s v="1x1"/>
    <n v="126972"/>
    <n v="476494"/>
    <n v="129.66999999999999"/>
    <n v="1212"/>
    <n v="0"/>
    <n v="0"/>
    <n v="2.5435787229220095E-3"/>
    <n v="0"/>
    <n v="701"/>
    <n v="5.5208999999999996E-3"/>
    <x v="0"/>
    <n v="9.5454115868065393E-3"/>
    <s v="Bad"/>
  </r>
  <r>
    <s v="KW"/>
    <s v="Social_MK~KW_TG"/>
    <s v="Interests"/>
    <s v="AR"/>
    <s v="Video"/>
    <s v="16x9"/>
    <n v="100608"/>
    <n v="204978"/>
    <n v="128.71"/>
    <n v="1039"/>
    <n v="53088"/>
    <n v="674"/>
    <n v="5.0688366556410928E-3"/>
    <n v="0.25899364809882036"/>
    <n v="53972"/>
    <n v="0.53645832999999998"/>
    <x v="0"/>
    <n v="1.032721055979644E-2"/>
    <s v="Bad"/>
  </r>
  <r>
    <s v="BH"/>
    <s v="Social_MK~BH_TG"/>
    <s v="Interests"/>
    <s v="AR"/>
    <s v="Video"/>
    <s v="16x9"/>
    <n v="98706"/>
    <n v="259766"/>
    <n v="122.72"/>
    <n v="1290"/>
    <n v="46834"/>
    <n v="1308"/>
    <n v="4.9660078686202197E-3"/>
    <n v="0.18029303296043361"/>
    <n v="47722"/>
    <n v="0.48347617999999998"/>
    <x v="0"/>
    <n v="1.3069114339553829E-2"/>
    <s v="Bad"/>
  </r>
  <r>
    <s v="BH"/>
    <s v="Social_MK~BH_TG"/>
    <s v="Interests"/>
    <s v="EN"/>
    <s v="Video"/>
    <s v="1x1"/>
    <n v="125215"/>
    <n v="439064"/>
    <n v="122.43"/>
    <n v="1584"/>
    <n v="23431"/>
    <n v="1173"/>
    <n v="3.6076745075888711E-3"/>
    <n v="5.3365796330375526E-2"/>
    <n v="23737"/>
    <n v="0.18956993999999999"/>
    <x v="0"/>
    <n v="1.2650241584474701E-2"/>
    <s v="Bad"/>
  </r>
  <r>
    <s v="OM"/>
    <s v="Social_MK~OM_TG"/>
    <s v="Interests"/>
    <s v="AR"/>
    <s v="Video"/>
    <s v="1x1"/>
    <n v="97825"/>
    <n v="247282"/>
    <n v="118.16"/>
    <n v="1539"/>
    <n v="51886"/>
    <n v="760"/>
    <n v="6.2236636714358504E-3"/>
    <n v="0.20982521978955201"/>
    <n v="53013"/>
    <n v="0.54191668999999998"/>
    <x v="0"/>
    <n v="1.573217480194224E-2"/>
    <s v="Bad"/>
  </r>
  <r>
    <s v="RIY"/>
    <s v="Social_MK~RIY_TG"/>
    <s v="CDP"/>
    <s v="AR"/>
    <s v="Video"/>
    <s v="16x9"/>
    <n v="4878"/>
    <n v="65456"/>
    <n v="118.09"/>
    <n v="333"/>
    <n v="11531"/>
    <n v="108"/>
    <n v="5.0873869469567345E-3"/>
    <n v="0.17616414079687118"/>
    <n v="11756"/>
    <n v="2.4100041000000001"/>
    <x v="1"/>
    <n v="6.8265682656826573E-2"/>
    <s v="Bad"/>
  </r>
  <r>
    <s v="OM"/>
    <s v="Social_MK~OM_TG"/>
    <s v="Interests"/>
    <s v="AR"/>
    <s v="Video"/>
    <s v="16x9"/>
    <n v="210494"/>
    <n v="587830"/>
    <n v="117.88"/>
    <n v="2151"/>
    <n v="32287"/>
    <n v="804"/>
    <n v="3.6592212034091487E-3"/>
    <n v="5.4925743837504037E-2"/>
    <n v="33061"/>
    <n v="0.15706386"/>
    <x v="0"/>
    <n v="1.021881858865336E-2"/>
    <s v="Bad"/>
  </r>
  <r>
    <s v="RIY"/>
    <s v="Social_MK~RIY_TG"/>
    <s v="CDP"/>
    <s v="AR"/>
    <s v="Video"/>
    <s v="1x1"/>
    <n v="8428"/>
    <n v="71918"/>
    <n v="116.38"/>
    <n v="315"/>
    <n v="6318"/>
    <n v="240"/>
    <n v="4.379988320031147E-3"/>
    <n v="8.7850051447481856E-2"/>
    <n v="6378"/>
    <n v="0.75676317000000004"/>
    <x v="1"/>
    <n v="3.7375415282392029E-2"/>
    <s v="Bad"/>
  </r>
  <r>
    <s v="BH"/>
    <s v="Social_MK~BH_TG"/>
    <s v="Interests"/>
    <s v="AR"/>
    <s v="Video"/>
    <s v="16x9"/>
    <n v="125472"/>
    <n v="403255"/>
    <n v="113.71"/>
    <n v="1418"/>
    <n v="25334"/>
    <n v="846"/>
    <n v="3.5163854136960482E-3"/>
    <n v="6.2823771558939132E-2"/>
    <n v="25747"/>
    <n v="0.20520115999999999"/>
    <x v="0"/>
    <n v="1.1301326192297879E-2"/>
    <s v="Bad"/>
  </r>
  <r>
    <s v="KW"/>
    <s v="Social_MK~KW_TG"/>
    <s v="Interests"/>
    <s v="EN"/>
    <s v="Video"/>
    <s v="1x1"/>
    <n v="63216"/>
    <n v="93208"/>
    <n v="112.46"/>
    <n v="1168"/>
    <n v="73220"/>
    <n v="176"/>
    <n v="1.2531113209166595E-2"/>
    <n v="0.78555488799244699"/>
    <n v="74347"/>
    <n v="1.17607884"/>
    <x v="0"/>
    <n v="1.8476335105036702E-2"/>
    <s v="Bad"/>
  </r>
  <r>
    <s v="RIY"/>
    <s v="Social_MK~RIY_TG"/>
    <s v="Interests"/>
    <s v="AR"/>
    <s v="Video"/>
    <s v="9x16"/>
    <n v="131827"/>
    <n v="241516"/>
    <n v="111.56"/>
    <n v="141"/>
    <n v="15291"/>
    <n v="153"/>
    <n v="5.8381225260438236E-4"/>
    <n v="6.3312575564351839E-2"/>
    <n v="15407"/>
    <n v="0.11687287"/>
    <x v="0"/>
    <n v="1.06958362095777E-3"/>
    <s v="Bad"/>
  </r>
  <r>
    <s v="JED"/>
    <s v="Social_MK~JED_TG"/>
    <s v="Interests"/>
    <s v="EN"/>
    <s v="Video"/>
    <s v="16x9"/>
    <n v="93569"/>
    <n v="160470"/>
    <n v="111.18"/>
    <n v="1028"/>
    <n v="57741"/>
    <n v="326"/>
    <n v="6.4061818408425253E-3"/>
    <n v="0.35982426621798469"/>
    <n v="58602"/>
    <n v="0.62629716999999996"/>
    <x v="0"/>
    <n v="1.098654468894612E-2"/>
    <s v="Bad"/>
  </r>
  <r>
    <s v="QA"/>
    <s v="Social_MK~QA_TG"/>
    <s v="Interests"/>
    <s v="EN"/>
    <s v="Video"/>
    <s v="1x1"/>
    <n v="188258"/>
    <n v="420091"/>
    <n v="110.37"/>
    <n v="1442"/>
    <n v="16806"/>
    <n v="577"/>
    <n v="3.4325896055854566E-3"/>
    <n v="4.0005617830422453E-2"/>
    <n v="16964"/>
    <n v="9.0110380000000004E-2"/>
    <x v="0"/>
    <n v="7.6597010485610177E-3"/>
    <s v="Bad"/>
  </r>
  <r>
    <s v="OM"/>
    <s v="Social_MK~OM_TG"/>
    <s v="Interests"/>
    <s v="EN"/>
    <s v="Video"/>
    <s v="1x1"/>
    <n v="210367"/>
    <n v="557328"/>
    <n v="110.36"/>
    <n v="2217"/>
    <n v="23222"/>
    <n v="824"/>
    <n v="3.9779088795108084E-3"/>
    <n v="4.1666666666666664E-2"/>
    <n v="23662"/>
    <n v="0.11247962"/>
    <x v="0"/>
    <n v="1.053872518028018E-2"/>
    <s v="Bad"/>
  </r>
  <r>
    <s v="JED"/>
    <s v="Social_MK~JED_TG"/>
    <s v="Interests"/>
    <s v="EN"/>
    <s v="Video"/>
    <s v="1x1"/>
    <n v="61184"/>
    <n v="95633"/>
    <n v="109.61"/>
    <n v="1360"/>
    <n v="73201"/>
    <n v="202"/>
    <n v="1.4221032488785252E-2"/>
    <n v="0.76543661706733035"/>
    <n v="74535"/>
    <n v="1.2182106399999999"/>
    <x v="0"/>
    <n v="2.222803347280335E-2"/>
    <s v="Bad"/>
  </r>
  <r>
    <s v="RIY"/>
    <s v="Social_MK~RIY_TG"/>
    <s v="Interests"/>
    <s v="AR"/>
    <s v="Video"/>
    <s v="16x9"/>
    <n v="89503"/>
    <n v="229721"/>
    <n v="108"/>
    <n v="791"/>
    <n v="12151"/>
    <n v="366"/>
    <n v="3.4433073162662533E-3"/>
    <n v="5.289459823002686E-2"/>
    <n v="12345"/>
    <n v="0.13792834000000001"/>
    <x v="0"/>
    <n v="8.8376925913097888E-3"/>
    <s v="Bad"/>
  </r>
  <r>
    <s v="BH"/>
    <s v="Social_MK~BH_TG"/>
    <s v="Interests"/>
    <s v="AR"/>
    <s v="Video"/>
    <s v="1x1"/>
    <n v="62289"/>
    <n v="195501"/>
    <n v="107.1"/>
    <n v="1205"/>
    <n v="46955"/>
    <n v="955"/>
    <n v="6.1636513368218066E-3"/>
    <n v="0.24017779960204808"/>
    <n v="47855"/>
    <n v="0.76827369000000001"/>
    <x v="0"/>
    <n v="1.9345309765769241E-2"/>
    <s v="Bad"/>
  </r>
  <r>
    <s v="KW"/>
    <s v="Social_MK~KW_TG"/>
    <s v="Interests"/>
    <s v="AR"/>
    <s v="Static"/>
    <s v="1x1"/>
    <n v="118272"/>
    <n v="292473"/>
    <n v="103.99"/>
    <n v="928"/>
    <n v="0"/>
    <n v="0"/>
    <n v="3.1729424596458476E-3"/>
    <n v="0"/>
    <n v="656"/>
    <n v="5.54654E-3"/>
    <x v="0"/>
    <n v="7.846320346320346E-3"/>
    <s v="Bad"/>
  </r>
  <r>
    <s v="JED"/>
    <s v="Social_MK~JED_TG"/>
    <s v="CDP"/>
    <s v="EN"/>
    <s v="Video"/>
    <s v="16x9"/>
    <n v="3518"/>
    <n v="57678"/>
    <n v="100.12"/>
    <n v="318"/>
    <n v="8354"/>
    <n v="320"/>
    <n v="5.5133673150941434E-3"/>
    <n v="0.14483858663615243"/>
    <n v="8555"/>
    <n v="2.4317794199999998"/>
    <x v="1"/>
    <n v="9.0392268334280837E-2"/>
    <s v="Bad"/>
  </r>
  <r>
    <s v="RIY"/>
    <s v="Social_MK~RIY_TG"/>
    <s v="CDP"/>
    <s v="AR"/>
    <s v="Video"/>
    <s v="1x1"/>
    <n v="5840"/>
    <n v="26144"/>
    <n v="89.99"/>
    <n v="428"/>
    <n v="13922"/>
    <n v="84"/>
    <n v="1.6370869033047734E-2"/>
    <n v="0.53251223990208074"/>
    <n v="14319"/>
    <n v="2.4518835600000002"/>
    <x v="1"/>
    <n v="7.3287671232876717E-2"/>
    <s v="Good"/>
  </r>
  <r>
    <s v="JED"/>
    <s v="Social_MK~JED_TG"/>
    <s v="Interests"/>
    <s v="EN"/>
    <s v="Static"/>
    <s v="1x1"/>
    <n v="162048"/>
    <n v="303640"/>
    <n v="88.64"/>
    <n v="829"/>
    <n v="0"/>
    <n v="0"/>
    <n v="2.7302068238703727E-3"/>
    <n v="0"/>
    <n v="562"/>
    <n v="3.4681099999999999E-3"/>
    <x v="0"/>
    <n v="5.1157681674565561E-3"/>
    <s v="Bad"/>
  </r>
  <r>
    <s v="QA"/>
    <s v="Social_MK~QA_TG"/>
    <s v="Interests"/>
    <s v="AR"/>
    <s v="Video"/>
    <s v="16x9"/>
    <n v="51344"/>
    <n v="158990"/>
    <n v="86.98"/>
    <n v="452"/>
    <n v="30800"/>
    <n v="179"/>
    <n v="2.8429460972388201E-3"/>
    <n v="0.19372287565255678"/>
    <n v="31104"/>
    <n v="0.60579620000000001"/>
    <x v="0"/>
    <n v="8.8033655344344035E-3"/>
    <s v="Bad"/>
  </r>
  <r>
    <s v="QA"/>
    <s v="Social_MK~QA_TG"/>
    <s v="Interests"/>
    <s v="EN"/>
    <s v="Video"/>
    <s v="1x1"/>
    <n v="63281"/>
    <n v="92544"/>
    <n v="85.53"/>
    <n v="1199"/>
    <n v="63926"/>
    <n v="140"/>
    <n v="1.2955999308437069E-2"/>
    <n v="0.69076331258644541"/>
    <n v="65083"/>
    <n v="1.0284761600000001"/>
    <x v="0"/>
    <n v="1.894723534710261E-2"/>
    <s v="Bad"/>
  </r>
  <r>
    <s v="JED"/>
    <s v="Social_MK~JED_TG"/>
    <s v="Interests"/>
    <s v="AR"/>
    <s v="Static"/>
    <s v="1x1"/>
    <n v="118689"/>
    <n v="277350"/>
    <n v="83.81"/>
    <n v="872"/>
    <n v="0"/>
    <n v="0"/>
    <n v="3.1440418244095907E-3"/>
    <n v="0"/>
    <n v="589"/>
    <n v="4.9625499999999996E-3"/>
    <x v="0"/>
    <n v="7.3469318976484774E-3"/>
    <s v="Bad"/>
  </r>
  <r>
    <s v="JED"/>
    <s v="Social_MK~JED_TG"/>
    <s v="Interests"/>
    <s v="AR"/>
    <s v="Video"/>
    <s v="16x9"/>
    <n v="49026"/>
    <n v="156769"/>
    <n v="83.69"/>
    <n v="422"/>
    <n v="27351"/>
    <n v="207"/>
    <n v="2.6918587220687764E-3"/>
    <n v="0.17446689077559976"/>
    <n v="27611"/>
    <n v="0.56319096000000002"/>
    <x v="0"/>
    <n v="8.6076775588463262E-3"/>
    <s v="Bad"/>
  </r>
  <r>
    <s v="QA"/>
    <s v="Social_MK~QA_TG"/>
    <s v="Interests"/>
    <s v="AR"/>
    <s v="Static"/>
    <s v="1x1"/>
    <n v="138463"/>
    <n v="311567"/>
    <n v="83.68"/>
    <n v="728"/>
    <n v="0"/>
    <n v="0"/>
    <n v="2.336576081549073E-3"/>
    <n v="0"/>
    <n v="480"/>
    <n v="3.4666300000000001E-3"/>
    <x v="0"/>
    <n v="5.25772227959816E-3"/>
    <s v="Bad"/>
  </r>
  <r>
    <s v="KW"/>
    <s v="Social_MK~KW_TG"/>
    <s v="Interests"/>
    <s v="EN"/>
    <s v="Video"/>
    <s v="16x9"/>
    <n v="69058"/>
    <n v="122112"/>
    <n v="82.8"/>
    <n v="638"/>
    <n v="42935"/>
    <n v="249"/>
    <n v="5.2247117400419287E-3"/>
    <n v="0.35160344601677151"/>
    <n v="43476"/>
    <n v="0.62955775999999997"/>
    <x v="0"/>
    <n v="9.2386110226186681E-3"/>
    <s v="Bad"/>
  </r>
  <r>
    <s v="KW"/>
    <s v="Social_MK~KW_TG"/>
    <s v="Interests"/>
    <s v="EN"/>
    <s v="Video"/>
    <s v="1x1"/>
    <n v="109983"/>
    <n v="248920"/>
    <n v="82.04"/>
    <n v="716"/>
    <n v="8081"/>
    <n v="355"/>
    <n v="2.8764261610155872E-3"/>
    <n v="3.246424554073598E-2"/>
    <n v="8140"/>
    <n v="7.4011439999999998E-2"/>
    <x v="0"/>
    <n v="6.5100970149932274E-3"/>
    <s v="Bad"/>
  </r>
  <r>
    <s v="OM"/>
    <s v="Social_MK~OM_TG"/>
    <s v="Interests"/>
    <s v="EN"/>
    <s v="Video"/>
    <s v="9x16"/>
    <n v="134491"/>
    <n v="414195"/>
    <n v="78.69"/>
    <n v="78"/>
    <n v="11989"/>
    <n v="109"/>
    <n v="1.883170970195198E-4"/>
    <n v="2.8945303540602856E-2"/>
    <n v="12108"/>
    <n v="9.0028330000000004E-2"/>
    <x v="0"/>
    <n v="5.7996445858830706E-4"/>
    <s v="Bad"/>
  </r>
  <r>
    <s v="RIY"/>
    <s v="Social_MK~RIY_TG"/>
    <s v="CDP"/>
    <s v="AR"/>
    <s v="Video"/>
    <s v="16x9"/>
    <n v="6162"/>
    <n v="33945"/>
    <n v="77.89"/>
    <n v="316"/>
    <n v="9561"/>
    <n v="179"/>
    <n v="9.3091766092207977E-3"/>
    <n v="0.28166151126822803"/>
    <n v="9829"/>
    <n v="1.5950989900000001"/>
    <x v="1"/>
    <n v="5.128205128205128E-2"/>
    <s v="Bad"/>
  </r>
  <r>
    <s v="QA"/>
    <s v="Social_MK~QA_TG"/>
    <s v="Interests"/>
    <s v="EN"/>
    <s v="Video"/>
    <s v="16x9"/>
    <n v="51697"/>
    <n v="77489"/>
    <n v="77.180000000000007"/>
    <n v="914"/>
    <n v="58585"/>
    <n v="76"/>
    <n v="1.179522254771645E-2"/>
    <n v="0.7560427931706436"/>
    <n v="59467"/>
    <n v="1.1502988599999999"/>
    <x v="0"/>
    <n v="1.767994274329265E-2"/>
    <s v="Bad"/>
  </r>
  <r>
    <s v="OM"/>
    <s v="Social_MK~OM_TG"/>
    <s v="Interests"/>
    <s v="AR"/>
    <s v="Video"/>
    <s v="1x1"/>
    <n v="94290"/>
    <n v="161778"/>
    <n v="76.900000000000006"/>
    <n v="862"/>
    <n v="38749"/>
    <n v="891"/>
    <n v="5.3282893842178788E-3"/>
    <n v="0.23951958857199371"/>
    <n v="39451"/>
    <n v="0.41840068000000002"/>
    <x v="0"/>
    <n v="9.1420086965743989E-3"/>
    <s v="Bad"/>
  </r>
  <r>
    <s v="BH"/>
    <s v="Social_MK~BH_TG"/>
    <s v="Interests"/>
    <s v="AR"/>
    <s v="Video"/>
    <s v="1x1"/>
    <n v="108608"/>
    <n v="269378"/>
    <n v="76.66"/>
    <n v="819"/>
    <n v="14251"/>
    <n v="411"/>
    <n v="3.0403373697926333E-3"/>
    <n v="5.2903355136648129E-2"/>
    <n v="14518"/>
    <n v="0.13367339"/>
    <x v="0"/>
    <n v="7.5408809664113136E-3"/>
    <s v="Bad"/>
  </r>
  <r>
    <s v="JED"/>
    <s v="Social_MK~JED_TG"/>
    <s v="CDP"/>
    <s v="AR"/>
    <s v="Video"/>
    <s v="1x1"/>
    <n v="3702"/>
    <n v="17765"/>
    <n v="76.5"/>
    <n v="347"/>
    <n v="11809"/>
    <n v="63"/>
    <n v="1.9532789192231916E-2"/>
    <n v="0.6647340275823248"/>
    <n v="12144"/>
    <n v="3.2803889800000001"/>
    <x v="1"/>
    <n v="9.3733117233927604E-2"/>
    <s v="Good"/>
  </r>
  <r>
    <s v="BH"/>
    <s v="Social_MK~BH_TG"/>
    <s v="Interests"/>
    <s v="EN"/>
    <s v="Video"/>
    <s v="16x9"/>
    <n v="88959"/>
    <n v="257183"/>
    <n v="73.05"/>
    <n v="881"/>
    <n v="14436"/>
    <n v="633"/>
    <n v="3.425576340582387E-3"/>
    <n v="5.613123729017859E-2"/>
    <n v="14728"/>
    <n v="0.16555942000000001"/>
    <x v="0"/>
    <n v="9.9034386627547526E-3"/>
    <s v="Bad"/>
  </r>
  <r>
    <s v="BH"/>
    <s v="Social_MK~BH_TG"/>
    <s v="Interests"/>
    <s v="EN"/>
    <s v="Video"/>
    <s v="16x9"/>
    <n v="52704"/>
    <n v="116927"/>
    <n v="72.91"/>
    <n v="601"/>
    <n v="38730"/>
    <n v="252"/>
    <n v="5.1399591197926909E-3"/>
    <n v="0.33123230733705644"/>
    <n v="39230"/>
    <n v="0.74434577999999996"/>
    <x v="0"/>
    <n v="1.1403309046751671E-2"/>
    <s v="Bad"/>
  </r>
  <r>
    <s v="BH"/>
    <s v="Social_MK~BH_TG"/>
    <s v="Interests"/>
    <s v="AR"/>
    <s v="Video"/>
    <s v="1x1"/>
    <n v="103800"/>
    <n v="246369"/>
    <n v="72.27"/>
    <n v="588"/>
    <n v="7223"/>
    <n v="6199"/>
    <n v="2.3866639065791557E-3"/>
    <n v="2.9317811900036125E-2"/>
    <n v="7257"/>
    <n v="6.9913290000000003E-2"/>
    <x v="0"/>
    <n v="5.6647398843930634E-3"/>
    <s v="Bad"/>
  </r>
  <r>
    <s v="JED"/>
    <s v="Social_MK~JED_TG"/>
    <s v="CDP"/>
    <s v="EN"/>
    <s v="Static"/>
    <s v="1x1"/>
    <n v="3718"/>
    <n v="46090"/>
    <n v="71.87"/>
    <n v="158"/>
    <n v="0"/>
    <n v="0"/>
    <n v="3.4280755044478195E-3"/>
    <n v="0"/>
    <n v="77"/>
    <n v="2.0710059999999999E-2"/>
    <x v="1"/>
    <n v="4.249596557288865E-2"/>
    <s v="Bad"/>
  </r>
  <r>
    <s v="QA"/>
    <s v="Social_MK~QA_TG"/>
    <s v="Interests"/>
    <s v="EN"/>
    <s v="Video"/>
    <s v="16x9"/>
    <n v="104406"/>
    <n v="267493"/>
    <n v="67.23"/>
    <n v="1111"/>
    <n v="13825"/>
    <n v="521"/>
    <n v="4.1533797146093539E-3"/>
    <n v="5.1683595458572748E-2"/>
    <n v="13931"/>
    <n v="0.13343103000000001"/>
    <x v="0"/>
    <n v="1.064115089171121E-2"/>
    <s v="Bad"/>
  </r>
  <r>
    <s v="RIY"/>
    <s v="Social_MK~RIY_TG"/>
    <s v="Interests"/>
    <s v="AR"/>
    <s v="Video"/>
    <s v="9x16"/>
    <n v="87541"/>
    <n v="140618"/>
    <n v="65.87"/>
    <n v="72"/>
    <n v="11730"/>
    <n v="324"/>
    <n v="5.1202548749093287E-4"/>
    <n v="8.341748567039782E-2"/>
    <n v="11794"/>
    <n v="0.13472544"/>
    <x v="0"/>
    <n v="8.224717560914314E-4"/>
    <s v="Bad"/>
  </r>
  <r>
    <s v="JED"/>
    <s v="Social_MK~JED_TG"/>
    <s v="Interests"/>
    <s v="AR"/>
    <s v="Video"/>
    <s v="1x1"/>
    <n v="123995"/>
    <n v="240485"/>
    <n v="65.819999999999993"/>
    <n v="783"/>
    <n v="9122"/>
    <n v="467"/>
    <n v="3.2559203276711643E-3"/>
    <n v="3.7931679730544524E-2"/>
    <n v="9265"/>
    <n v="7.4720750000000002E-2"/>
    <x v="0"/>
    <n v="6.3147707568853581E-3"/>
    <s v="Bad"/>
  </r>
  <r>
    <s v="QA"/>
    <s v="Social_MK~QA_TG"/>
    <s v="Interests"/>
    <s v="AR"/>
    <s v="Video"/>
    <s v="1x1"/>
    <n v="120095"/>
    <n v="255383"/>
    <n v="65.06"/>
    <n v="809"/>
    <n v="10136"/>
    <n v="318"/>
    <n v="3.1677911215703472E-3"/>
    <n v="3.96894076739642E-2"/>
    <n v="10352"/>
    <n v="8.6198430000000006E-2"/>
    <x v="0"/>
    <n v="6.7363337357924978E-3"/>
    <s v="Bad"/>
  </r>
  <r>
    <s v="OM"/>
    <s v="Social_MK~OM_TG"/>
    <s v="Interests"/>
    <s v="AR"/>
    <s v="Video"/>
    <s v="1x1"/>
    <n v="151521"/>
    <n v="315774"/>
    <n v="61.75"/>
    <n v="1153"/>
    <n v="14278"/>
    <n v="453"/>
    <n v="3.651345582600214E-3"/>
    <n v="4.5215882244896664E-2"/>
    <n v="14487"/>
    <n v="9.5610509999999996E-2"/>
    <x v="0"/>
    <n v="7.6095062730578604E-3"/>
    <s v="Bad"/>
  </r>
  <r>
    <s v="RIY"/>
    <s v="Social_MK~RIY_TG"/>
    <s v="CDP"/>
    <s v="AR"/>
    <s v="Video"/>
    <s v="1x1"/>
    <n v="4696"/>
    <n v="38905"/>
    <n v="61.07"/>
    <n v="183"/>
    <n v="2287"/>
    <n v="76"/>
    <n v="4.7037655828299704E-3"/>
    <n v="5.8784217966842307E-2"/>
    <n v="2316"/>
    <n v="0.49318569000000001"/>
    <x v="1"/>
    <n v="3.896933560477002E-2"/>
    <s v="Bad"/>
  </r>
  <r>
    <s v="KW"/>
    <s v="Social_MK~KW_TG"/>
    <s v="Interests"/>
    <s v="AR"/>
    <s v="Video"/>
    <s v="1x1"/>
    <n v="92606"/>
    <n v="169566"/>
    <n v="60.33"/>
    <n v="657"/>
    <n v="9248"/>
    <n v="241"/>
    <n v="3.8745975018576839E-3"/>
    <n v="5.4539235459938905E-2"/>
    <n v="9488"/>
    <n v="0.10245556"/>
    <x v="0"/>
    <n v="7.0945727058721901E-3"/>
    <s v="Bad"/>
  </r>
  <r>
    <s v="RIY"/>
    <s v="Social_MK~RIY_TG"/>
    <s v="CDP"/>
    <s v="AR"/>
    <s v="Video"/>
    <s v="16x9"/>
    <n v="5396"/>
    <n v="39145"/>
    <n v="59.89"/>
    <n v="179"/>
    <n v="3917"/>
    <n v="65"/>
    <n v="4.5727423681185334E-3"/>
    <n v="0.10006386511687317"/>
    <n v="3949"/>
    <n v="0.7318384"/>
    <x v="1"/>
    <n v="3.3172720533728689E-2"/>
    <s v="Bad"/>
  </r>
  <r>
    <s v="OM"/>
    <s v="Social_MK~OM_TG"/>
    <s v="Interests"/>
    <s v="EN"/>
    <s v="Static"/>
    <s v="1x1"/>
    <n v="131552"/>
    <n v="293212"/>
    <n v="59.47"/>
    <n v="902"/>
    <n v="0"/>
    <n v="0"/>
    <n v="3.0762724581531453E-3"/>
    <n v="0"/>
    <n v="598"/>
    <n v="4.5457300000000004E-3"/>
    <x v="0"/>
    <n v="6.8566042325468252E-3"/>
    <s v="Bad"/>
  </r>
  <r>
    <s v="BH"/>
    <s v="Social_MK~BH_TG"/>
    <s v="Interests"/>
    <s v="AR"/>
    <s v="Static"/>
    <s v="1x1"/>
    <n v="70815"/>
    <n v="207642"/>
    <n v="58.09"/>
    <n v="630"/>
    <n v="0"/>
    <n v="0"/>
    <n v="3.0340682520877279E-3"/>
    <n v="0"/>
    <n v="437"/>
    <n v="6.1710100000000002E-3"/>
    <x v="0"/>
    <n v="8.8964202499470443E-3"/>
    <s v="Bad"/>
  </r>
  <r>
    <s v="JED"/>
    <s v="Social_MK~JED_TG"/>
    <s v="Interests"/>
    <s v="AR"/>
    <s v="Video"/>
    <s v="16x9"/>
    <n v="99100"/>
    <n v="203258"/>
    <n v="58.05"/>
    <n v="629"/>
    <n v="9862"/>
    <n v="390"/>
    <n v="3.0945891428627655E-3"/>
    <n v="4.8519615464089977E-2"/>
    <n v="9933"/>
    <n v="0.10023209"/>
    <x v="0"/>
    <n v="6.3471241170534806E-3"/>
    <s v="Bad"/>
  </r>
  <r>
    <s v="OM"/>
    <s v="Social_MK~OM_TG"/>
    <s v="Interests"/>
    <s v="AR"/>
    <s v="Static"/>
    <s v="1x1"/>
    <n v="139156"/>
    <n v="298669"/>
    <n v="56.98"/>
    <n v="689"/>
    <n v="0"/>
    <n v="0"/>
    <n v="2.3069016201882351E-3"/>
    <n v="0"/>
    <n v="468"/>
    <n v="3.3631300000000002E-3"/>
    <x v="0"/>
    <n v="4.9512777027221249E-3"/>
    <s v="Bad"/>
  </r>
  <r>
    <s v="JED"/>
    <s v="Social_MK~JED_TG"/>
    <s v="CDP"/>
    <s v="AR"/>
    <s v="Video"/>
    <s v="1x1"/>
    <n v="3720"/>
    <n v="15753"/>
    <n v="54.56"/>
    <n v="319"/>
    <n v="7617"/>
    <n v="68"/>
    <n v="2.0250111089951121E-2"/>
    <n v="0.48352694724814321"/>
    <n v="7917"/>
    <n v="2.12822581"/>
    <x v="1"/>
    <n v="8.5752688172043012E-2"/>
    <s v="Good"/>
  </r>
  <r>
    <s v="JED"/>
    <s v="Social_MK~JED_TG"/>
    <s v="Interests"/>
    <s v="AR"/>
    <s v="Video"/>
    <s v="1x1"/>
    <n v="107585"/>
    <n v="186875"/>
    <n v="51.73"/>
    <n v="576"/>
    <n v="6756"/>
    <n v="179"/>
    <n v="3.0822742474916386E-3"/>
    <n v="3.6152508361204011E-2"/>
    <n v="6845"/>
    <n v="6.3624109999999998E-2"/>
    <x v="0"/>
    <n v="5.3539062136914997E-3"/>
    <s v="Bad"/>
  </r>
  <r>
    <s v="OM"/>
    <s v="Social_MK~OM_TG"/>
    <s v="Interests"/>
    <s v="EN"/>
    <s v="Video"/>
    <s v="1x1"/>
    <n v="113759"/>
    <n v="257301"/>
    <n v="50.29"/>
    <n v="952"/>
    <n v="9959"/>
    <n v="570"/>
    <n v="3.6999467549679171E-3"/>
    <n v="3.8705640475551979E-2"/>
    <n v="10240"/>
    <n v="9.0014860000000002E-2"/>
    <x v="0"/>
    <n v="8.3685686407229311E-3"/>
    <s v="Bad"/>
  </r>
  <r>
    <s v="KW"/>
    <s v="Social_MK~KW_TG"/>
    <s v="Interests"/>
    <s v="AR"/>
    <s v="Video"/>
    <s v="1x1"/>
    <n v="69550"/>
    <n v="151813"/>
    <n v="50"/>
    <n v="668"/>
    <n v="7714"/>
    <n v="223"/>
    <n v="4.4001501847667854E-3"/>
    <n v="5.0812512762411652E-2"/>
    <n v="7851"/>
    <n v="0.11288281999999999"/>
    <x v="0"/>
    <n v="9.6046010064701655E-3"/>
    <s v="Bad"/>
  </r>
  <r>
    <s v="BH"/>
    <s v="Social_MK~BH_TG"/>
    <s v="Interests"/>
    <s v="EN"/>
    <s v="Static"/>
    <s v="1x1"/>
    <n v="74736"/>
    <n v="175079"/>
    <n v="49.94"/>
    <n v="380"/>
    <n v="0"/>
    <n v="0"/>
    <n v="2.1704487688414945E-3"/>
    <n v="0"/>
    <n v="247"/>
    <n v="3.30497E-3"/>
    <x v="0"/>
    <n v="5.0845643331192463E-3"/>
    <s v="Bad"/>
  </r>
  <r>
    <s v="QA"/>
    <s v="Social_MK~QA_TG"/>
    <s v="Interests"/>
    <s v="AR"/>
    <s v="Video"/>
    <s v="1x1"/>
    <n v="102044"/>
    <n v="191753"/>
    <n v="49.12"/>
    <n v="586"/>
    <n v="7264"/>
    <n v="358"/>
    <n v="3.0560147689997026E-3"/>
    <n v="3.7882067034153311E-2"/>
    <n v="7337"/>
    <n v="7.1900359999999996E-2"/>
    <x v="0"/>
    <n v="5.7426208302300968E-3"/>
    <s v="Bad"/>
  </r>
  <r>
    <s v="BH"/>
    <s v="Social_MK~BH_TG"/>
    <s v="Interests"/>
    <s v="EN"/>
    <s v="Video"/>
    <s v="1x1"/>
    <n v="31512"/>
    <n v="51773"/>
    <n v="48.4"/>
    <n v="538"/>
    <n v="32971"/>
    <n v="143"/>
    <n v="1.0391516813783246E-2"/>
    <n v="0.63683773395399146"/>
    <n v="33479"/>
    <n v="1.0624206700000001"/>
    <x v="0"/>
    <n v="1.707286113226707E-2"/>
    <s v="Bad"/>
  </r>
  <r>
    <s v="JED"/>
    <s v="Social_MK~JED_TG"/>
    <s v="CDP"/>
    <s v="EN"/>
    <s v="Video"/>
    <s v="1x1"/>
    <n v="2243"/>
    <n v="10599"/>
    <n v="48.09"/>
    <n v="268"/>
    <n v="7635"/>
    <n v="37"/>
    <n v="2.5285404283422963E-2"/>
    <n v="0.72035097650721769"/>
    <n v="7891"/>
    <n v="3.5180561699999999"/>
    <x v="1"/>
    <n v="0.1194828354881855"/>
    <s v="Good"/>
  </r>
  <r>
    <s v="RIY"/>
    <s v="Social_MK~RIY_TG"/>
    <s v="CDP"/>
    <s v="AR"/>
    <s v="Video"/>
    <s v="1x1"/>
    <n v="5700"/>
    <n v="30836"/>
    <n v="47.23"/>
    <n v="139"/>
    <n v="1537"/>
    <n v="1420"/>
    <n v="4.5077182513944738E-3"/>
    <n v="4.9844337787002202E-2"/>
    <n v="1603"/>
    <n v="0.28122807"/>
    <x v="1"/>
    <n v="2.4385964912280698E-2"/>
    <s v="Bad"/>
  </r>
  <r>
    <s v="JED"/>
    <s v="Social_MK~JED_TG"/>
    <s v="Interests"/>
    <s v="AR"/>
    <s v="Video"/>
    <s v="1x1"/>
    <n v="80319"/>
    <n v="173235"/>
    <n v="47.21"/>
    <n v="356"/>
    <n v="3521"/>
    <n v="3045"/>
    <n v="2.0550119779490289E-3"/>
    <n v="2.0324992062804862E-2"/>
    <n v="3606"/>
    <n v="4.4895980000000002E-2"/>
    <x v="0"/>
    <n v="4.4323260996775356E-3"/>
    <s v="Bad"/>
  </r>
  <r>
    <s v="JED"/>
    <s v="Social_MK~JED_TG"/>
    <s v="Interests"/>
    <s v="EN"/>
    <s v="Video"/>
    <s v="1x1"/>
    <n v="88016"/>
    <n v="173380"/>
    <n v="47.13"/>
    <n v="499"/>
    <n v="4785"/>
    <n v="215"/>
    <n v="2.8780712884992504E-3"/>
    <n v="2.7598338908755335E-2"/>
    <n v="4830"/>
    <n v="5.4876389999999997E-2"/>
    <x v="0"/>
    <n v="5.6694237411379746E-3"/>
    <s v="Bad"/>
  </r>
  <r>
    <s v="JED"/>
    <s v="Social_MK~JED_TG"/>
    <s v="CDP"/>
    <s v="AR"/>
    <s v="Video"/>
    <s v="16x9"/>
    <n v="3980"/>
    <n v="21048"/>
    <n v="45.87"/>
    <n v="166"/>
    <n v="4637"/>
    <n v="109"/>
    <n v="7.8867350817179785E-3"/>
    <n v="0.22030596731280883"/>
    <n v="4773"/>
    <n v="1.19924623"/>
    <x v="1"/>
    <n v="4.1708542713567838E-2"/>
    <s v="Bad"/>
  </r>
  <r>
    <s v="KW"/>
    <s v="Social_MK~KW_TG"/>
    <s v="Interests"/>
    <s v="AR"/>
    <s v="Video"/>
    <s v="1x1"/>
    <n v="34840"/>
    <n v="72489"/>
    <n v="45.33"/>
    <n v="463"/>
    <n v="18692"/>
    <n v="362"/>
    <n v="6.387175985321911E-3"/>
    <n v="0.25785981321303925"/>
    <n v="19008"/>
    <n v="0.54557979000000001"/>
    <x v="0"/>
    <n v="1.3289322617680829E-2"/>
    <s v="Bad"/>
  </r>
  <r>
    <s v="JED"/>
    <s v="Social_MK~JED_TG"/>
    <s v="CDP"/>
    <s v="AR"/>
    <s v="Video"/>
    <s v="16x9"/>
    <n v="2290"/>
    <n v="20750"/>
    <n v="45.16"/>
    <n v="116"/>
    <n v="4416"/>
    <n v="43"/>
    <n v="5.5903614457831329E-3"/>
    <n v="0.21281927710843374"/>
    <n v="4509"/>
    <n v="1.96899563"/>
    <x v="1"/>
    <n v="5.0655021834061127E-2"/>
    <s v="Bad"/>
  </r>
  <r>
    <s v="OM"/>
    <s v="Social_MK~OM_TG"/>
    <s v="Interests"/>
    <s v="EN"/>
    <s v="Video"/>
    <s v="16x9"/>
    <n v="49264"/>
    <n v="110340"/>
    <n v="45.11"/>
    <n v="488"/>
    <n v="22250"/>
    <n v="227"/>
    <n v="4.4226934928403121E-3"/>
    <n v="0.2016494471633134"/>
    <n v="22611"/>
    <n v="0.45897612999999998"/>
    <x v="0"/>
    <n v="9.9058135758363104E-3"/>
    <s v="Bad"/>
  </r>
  <r>
    <s v="RIY"/>
    <s v="Social_MK~RIY_TG"/>
    <s v="Interests"/>
    <s v="AR"/>
    <s v="Video"/>
    <s v="1x1"/>
    <n v="18164"/>
    <n v="33311"/>
    <n v="44.04"/>
    <n v="361"/>
    <n v="17879"/>
    <n v="50"/>
    <n v="1.0837260964846447E-2"/>
    <n v="0.53672960883792142"/>
    <n v="18201"/>
    <n v="1.0020370000000001"/>
    <x v="0"/>
    <n v="1.9874476987447699E-2"/>
    <s v="Bad"/>
  </r>
  <r>
    <s v="OM"/>
    <s v="Social_MK~OM_TG"/>
    <s v="Interests"/>
    <s v="EN"/>
    <s v="Video"/>
    <s v="1x1"/>
    <n v="43575"/>
    <n v="61468"/>
    <n v="43.37"/>
    <n v="844"/>
    <n v="33837"/>
    <n v="146"/>
    <n v="1.3730721676319385E-2"/>
    <n v="0.55048155137632593"/>
    <n v="34644"/>
    <n v="0.79504302999999998"/>
    <x v="0"/>
    <n v="1.93689041881813E-2"/>
    <s v="Bad"/>
  </r>
  <r>
    <s v="RIY"/>
    <s v="Social_MK~RIY_TG"/>
    <s v="CDP"/>
    <s v="AR"/>
    <s v="Video"/>
    <s v="16x9"/>
    <n v="5618"/>
    <n v="27121"/>
    <n v="42.86"/>
    <n v="132"/>
    <n v="2683"/>
    <n v="163"/>
    <n v="4.8670771726706244E-3"/>
    <n v="9.8927030714206707E-2"/>
    <n v="2710"/>
    <n v="0.48237806999999999"/>
    <x v="1"/>
    <n v="2.3495906016375939E-2"/>
    <s v="Bad"/>
  </r>
  <r>
    <s v="KW"/>
    <s v="Social_MK~KW_TG"/>
    <s v="Interests"/>
    <s v="EN"/>
    <s v="Video"/>
    <s v="16x9"/>
    <n v="62751"/>
    <n v="129422"/>
    <n v="42.56"/>
    <n v="347"/>
    <n v="5325"/>
    <n v="200"/>
    <n v="2.6811515816476334E-3"/>
    <n v="4.114447311894423E-2"/>
    <n v="5382"/>
    <n v="8.5767560000000007E-2"/>
    <x v="0"/>
    <n v="5.5297923539067107E-3"/>
    <s v="Bad"/>
  </r>
  <r>
    <s v="JED"/>
    <s v="Social_MK~JED_TG"/>
    <s v="Interests"/>
    <s v="EN"/>
    <s v="Static"/>
    <s v="1x1"/>
    <n v="70528"/>
    <n v="143711"/>
    <n v="42.08"/>
    <n v="404"/>
    <n v="0"/>
    <n v="0"/>
    <n v="2.8111974727056386E-3"/>
    <n v="0"/>
    <n v="261"/>
    <n v="3.7006600000000001E-3"/>
    <x v="0"/>
    <n v="5.7282214156079859E-3"/>
    <s v="Bad"/>
  </r>
  <r>
    <s v="KW"/>
    <s v="Social_MK~KW_TG"/>
    <s v="Interests"/>
    <s v="AR"/>
    <s v="Video"/>
    <s v="16x9"/>
    <n v="52349"/>
    <n v="124241"/>
    <n v="41.75"/>
    <n v="318"/>
    <n v="6374"/>
    <n v="183"/>
    <n v="2.559541536207854E-3"/>
    <n v="5.1303514942732269E-2"/>
    <n v="6445"/>
    <n v="0.12311601"/>
    <x v="0"/>
    <n v="6.0746146058186399E-3"/>
    <s v="Bad"/>
  </r>
  <r>
    <s v="JED"/>
    <s v="Social_MK~JED_TG"/>
    <s v="CDP"/>
    <s v="EN"/>
    <s v="Video"/>
    <s v="1x1"/>
    <n v="3998"/>
    <n v="24096"/>
    <n v="41.73"/>
    <n v="119"/>
    <n v="2157"/>
    <n v="63"/>
    <n v="4.9385790172642762E-3"/>
    <n v="8.9516932270916338E-2"/>
    <n v="2213"/>
    <n v="0.55352676000000001"/>
    <x v="1"/>
    <n v="2.9764882441220612E-2"/>
    <s v="Bad"/>
  </r>
  <r>
    <s v="KW"/>
    <s v="Social_MK~KW_TG"/>
    <s v="Interests"/>
    <s v="EN"/>
    <s v="Video"/>
    <s v="1x1"/>
    <n v="43942"/>
    <n v="124219"/>
    <n v="41.35"/>
    <n v="290"/>
    <n v="2324"/>
    <n v="2133"/>
    <n v="2.3345864964296925E-3"/>
    <n v="1.8708893164491744E-2"/>
    <n v="2394"/>
    <n v="5.448091E-2"/>
    <x v="0"/>
    <n v="6.5996085749396929E-3"/>
    <s v="Bad"/>
  </r>
  <r>
    <s v="JED"/>
    <s v="Social_MK~JED_TG"/>
    <s v="CDP"/>
    <s v="EN"/>
    <s v="Video"/>
    <s v="1x1"/>
    <n v="3528"/>
    <n v="24375"/>
    <n v="40.67"/>
    <n v="111"/>
    <n v="2011"/>
    <n v="69"/>
    <n v="4.553846153846154E-3"/>
    <n v="8.2502564102564097E-2"/>
    <n v="2077"/>
    <n v="0.58871881999999998"/>
    <x v="1"/>
    <n v="3.1462585034013613E-2"/>
    <s v="Bad"/>
  </r>
  <r>
    <s v="KW"/>
    <s v="Social_MK~KW_TG"/>
    <s v="Interests"/>
    <s v="EN"/>
    <s v="Video"/>
    <s v="9x16"/>
    <n v="83839"/>
    <n v="128655"/>
    <n v="40.26"/>
    <n v="109"/>
    <n v="7910"/>
    <n v="147"/>
    <n v="8.4722708017566362E-4"/>
    <n v="6.1482258754032099E-2"/>
    <n v="8014"/>
    <n v="9.5587969999999994E-2"/>
    <x v="0"/>
    <n v="1.300110926895598E-3"/>
    <s v="Bad"/>
  </r>
  <r>
    <s v="KW"/>
    <s v="Social_MK~KW_TG"/>
    <s v="Interests"/>
    <s v="EN"/>
    <s v="Video"/>
    <s v="9x16"/>
    <n v="76368"/>
    <n v="121193"/>
    <n v="38.4"/>
    <n v="100"/>
    <n v="8582"/>
    <n v="259"/>
    <n v="8.2513016428341574E-4"/>
    <n v="7.0812670698802732E-2"/>
    <n v="8657"/>
    <n v="0.113359"/>
    <x v="0"/>
    <n v="1.309448983867588E-3"/>
    <s v="Bad"/>
  </r>
  <r>
    <s v="JED"/>
    <s v="Social_MK~JED_TG"/>
    <s v="Interests"/>
    <s v="EN"/>
    <s v="Video"/>
    <s v="16x9"/>
    <n v="74140"/>
    <n v="132892"/>
    <n v="37.83"/>
    <n v="496"/>
    <n v="6726"/>
    <n v="319"/>
    <n v="3.7323540920446677E-3"/>
    <n v="5.0612527465912167E-2"/>
    <n v="6799"/>
    <n v="9.1704880000000003E-2"/>
    <x v="0"/>
    <n v="6.6900458591853248E-3"/>
    <s v="Bad"/>
  </r>
  <r>
    <s v="JED"/>
    <s v="Social_MK~JED_TG"/>
    <s v="Interests"/>
    <s v="EN"/>
    <s v="Video"/>
    <s v="16x9"/>
    <n v="62111"/>
    <n v="127873"/>
    <n v="36.36"/>
    <n v="386"/>
    <n v="4183"/>
    <n v="141"/>
    <n v="3.0186200370680284E-3"/>
    <n v="3.2712144080454829E-2"/>
    <n v="4244"/>
    <n v="6.8329280000000006E-2"/>
    <x v="0"/>
    <n v="6.214680169374185E-3"/>
    <s v="Bad"/>
  </r>
  <r>
    <s v="JED"/>
    <s v="Social_MK~JED_TG"/>
    <s v="CDP"/>
    <s v="EN"/>
    <s v="Static"/>
    <s v="1x1"/>
    <n v="4603"/>
    <n v="23252"/>
    <n v="36.270000000000003"/>
    <n v="98"/>
    <n v="0"/>
    <n v="0"/>
    <n v="4.2146912093583349E-3"/>
    <n v="0"/>
    <n v="51"/>
    <n v="1.1079729999999999E-2"/>
    <x v="1"/>
    <n v="2.1290462741690198E-2"/>
    <s v="Bad"/>
  </r>
  <r>
    <s v="BH"/>
    <s v="Social_MK~BH_TG"/>
    <s v="Interests"/>
    <s v="EN"/>
    <s v="Video"/>
    <s v="16x9"/>
    <n v="54686"/>
    <n v="128492"/>
    <n v="35.21"/>
    <n v="378"/>
    <n v="5532"/>
    <n v="193"/>
    <n v="2.9418173894094576E-3"/>
    <n v="4.3053264016436818E-2"/>
    <n v="5567"/>
    <n v="0.10179936000000001"/>
    <x v="0"/>
    <n v="6.9121895914859366E-3"/>
    <s v="Bad"/>
  </r>
  <r>
    <s v="KW"/>
    <s v="Social_MK~KW_TG"/>
    <s v="Interests"/>
    <s v="AR"/>
    <s v="Video"/>
    <s v="16x9"/>
    <n v="21276"/>
    <n v="59064"/>
    <n v="34.35"/>
    <n v="178"/>
    <n v="12352"/>
    <n v="82"/>
    <n v="3.0136800758499257E-3"/>
    <n v="0.20912908031965327"/>
    <n v="12499"/>
    <n v="0.58746944999999995"/>
    <x v="0"/>
    <n v="8.3662342545591274E-3"/>
    <s v="Bad"/>
  </r>
  <r>
    <s v="OM"/>
    <s v="Social_MK~OM_TG"/>
    <s v="Interests"/>
    <s v="EN"/>
    <s v="Video"/>
    <s v="9x16"/>
    <n v="91948"/>
    <n v="172397"/>
    <n v="33.71"/>
    <n v="34"/>
    <n v="4018"/>
    <n v="23"/>
    <n v="1.9721920915097131E-4"/>
    <n v="2.3306670069664786E-2"/>
    <n v="4067"/>
    <n v="4.4231520000000003E-2"/>
    <x v="0"/>
    <n v="3.6977422021142393E-4"/>
    <s v="Bad"/>
  </r>
  <r>
    <s v="KW"/>
    <s v="Social_MK~KW_TG"/>
    <s v="Interests"/>
    <s v="AR"/>
    <s v="Video"/>
    <s v="1x1"/>
    <n v="53006"/>
    <n v="101052"/>
    <n v="33.08"/>
    <n v="209"/>
    <n v="2129"/>
    <n v="1836"/>
    <n v="2.0682420931797492E-3"/>
    <n v="2.1068360843921941E-2"/>
    <n v="2188"/>
    <n v="4.1278349999999998E-2"/>
    <x v="0"/>
    <n v="3.9429498547334267E-3"/>
    <s v="Bad"/>
  </r>
  <r>
    <s v="JED"/>
    <s v="Social_MK~JED_TG"/>
    <s v="CDP"/>
    <s v="AR"/>
    <s v="Video"/>
    <s v="16x9"/>
    <n v="3369"/>
    <n v="20295"/>
    <n v="32.340000000000003"/>
    <n v="113"/>
    <n v="2192"/>
    <n v="80"/>
    <n v="5.5678738605567874E-3"/>
    <n v="0.10800689825080069"/>
    <n v="2221"/>
    <n v="0.65924607000000002"/>
    <x v="1"/>
    <n v="3.3541110121697831E-2"/>
    <s v="Bad"/>
  </r>
  <r>
    <s v="OM"/>
    <s v="Social_MK~OM_TG"/>
    <s v="Interests"/>
    <s v="AR"/>
    <s v="Static"/>
    <s v="1x1"/>
    <n v="80462"/>
    <n v="164052"/>
    <n v="31.82"/>
    <n v="406"/>
    <n v="0"/>
    <n v="0"/>
    <n v="2.4748250554702169E-3"/>
    <n v="0"/>
    <n v="291"/>
    <n v="3.6166100000000001E-3"/>
    <x v="0"/>
    <n v="5.0458601575899186E-3"/>
    <s v="Bad"/>
  </r>
  <r>
    <s v="KW"/>
    <s v="Social_MK~KW_TG"/>
    <s v="Interests"/>
    <s v="AR"/>
    <s v="Carousel"/>
    <s v="1x1"/>
    <n v="50753"/>
    <n v="76392"/>
    <n v="31.65"/>
    <n v="118"/>
    <n v="3291"/>
    <n v="3489"/>
    <n v="1.5446643627604986E-3"/>
    <n v="4.3080427269871192E-2"/>
    <n v="3350"/>
    <n v="6.6005949999999994E-2"/>
    <x v="0"/>
    <n v="2.3249857151301399E-3"/>
    <s v="Bad"/>
  </r>
  <r>
    <s v="QA"/>
    <s v="Social_MK~QA_TG"/>
    <s v="Interests"/>
    <s v="AR"/>
    <s v="Video"/>
    <s v="9x16"/>
    <n v="74593"/>
    <n v="117023"/>
    <n v="30.72"/>
    <n v="113"/>
    <n v="6608"/>
    <n v="91"/>
    <n v="9.6562214265571728E-4"/>
    <n v="5.6467532023619288E-2"/>
    <n v="6697"/>
    <n v="8.9780540000000006E-2"/>
    <x v="0"/>
    <n v="1.5148874559275001E-3"/>
    <s v="Bad"/>
  </r>
  <r>
    <s v="JED"/>
    <s v="Social_MK~JED_TG"/>
    <s v="CDP"/>
    <s v="AR"/>
    <s v="Video"/>
    <s v="1x1"/>
    <n v="2723"/>
    <n v="18515"/>
    <n v="29.59"/>
    <n v="104"/>
    <n v="1668"/>
    <n v="37"/>
    <n v="5.6170672427761272E-3"/>
    <n v="9.008911693221712E-2"/>
    <n v="1678"/>
    <n v="0.61623209999999995"/>
    <x v="1"/>
    <n v="3.8193169298567753E-2"/>
    <s v="Bad"/>
  </r>
  <r>
    <s v="JED"/>
    <s v="Social_MK~JED_TG"/>
    <s v="CDP"/>
    <s v="AR"/>
    <s v="Static"/>
    <s v="1x1"/>
    <n v="2543"/>
    <n v="18765"/>
    <n v="29.04"/>
    <n v="95"/>
    <n v="0"/>
    <n v="0"/>
    <n v="5.0626165734079407E-3"/>
    <n v="0"/>
    <n v="59"/>
    <n v="2.320094E-2"/>
    <x v="1"/>
    <n v="3.7357451828548958E-2"/>
    <s v="Bad"/>
  </r>
  <r>
    <s v="OM"/>
    <s v="Social_MK~OM_TG"/>
    <s v="Interests"/>
    <s v="EN"/>
    <s v="Video"/>
    <s v="1x1"/>
    <n v="27256"/>
    <n v="38553"/>
    <n v="28.96"/>
    <n v="527"/>
    <n v="21324"/>
    <n v="122"/>
    <n v="1.3669493943402588E-2"/>
    <n v="0.55310870749358032"/>
    <n v="21821"/>
    <n v="0.80059435999999995"/>
    <x v="0"/>
    <n v="1.933519225124743E-2"/>
    <s v="Bad"/>
  </r>
  <r>
    <s v="QA"/>
    <s v="Social_MK~QA_TG"/>
    <s v="Interests"/>
    <s v="AR"/>
    <s v="Video"/>
    <s v="1x1"/>
    <n v="33256"/>
    <n v="49703"/>
    <n v="28.68"/>
    <n v="382"/>
    <n v="16329"/>
    <n v="84"/>
    <n v="7.6856527774983403E-3"/>
    <n v="0.32853147697322094"/>
    <n v="16660"/>
    <n v="0.50096222999999995"/>
    <x v="0"/>
    <n v="1.1486649025739719E-2"/>
    <s v="Bad"/>
  </r>
  <r>
    <s v="BH"/>
    <s v="Social_MK~BH_TG"/>
    <s v="Interests"/>
    <s v="AR"/>
    <s v="Video"/>
    <s v="1x1"/>
    <n v="55777"/>
    <n v="102987"/>
    <n v="28.39"/>
    <n v="246"/>
    <n v="5387"/>
    <n v="228"/>
    <n v="2.3886509947857498E-3"/>
    <n v="5.2307572800450543E-2"/>
    <n v="5438"/>
    <n v="9.7495380000000006E-2"/>
    <x v="0"/>
    <n v="4.4104200656184447E-3"/>
    <s v="Bad"/>
  </r>
  <r>
    <s v="QA"/>
    <s v="Social_MK~QA_TG"/>
    <s v="Interests"/>
    <s v="EN"/>
    <s v="Video"/>
    <s v="1x1"/>
    <n v="38712"/>
    <n v="105503"/>
    <n v="28.35"/>
    <n v="214"/>
    <n v="1596"/>
    <n v="1395"/>
    <n v="2.0283783399524186E-3"/>
    <n v="1.5127531918523644E-2"/>
    <n v="1680"/>
    <n v="4.3397400000000003E-2"/>
    <x v="0"/>
    <n v="5.5280016532341389E-3"/>
    <s v="Bad"/>
  </r>
  <r>
    <s v="QA"/>
    <s v="Social_MK~QA_TG"/>
    <s v="Interests"/>
    <s v="AR"/>
    <s v="Video"/>
    <s v="9x16"/>
    <n v="70653"/>
    <n v="105138"/>
    <n v="27.69"/>
    <n v="87"/>
    <n v="8240"/>
    <n v="192"/>
    <n v="8.27483878331336E-4"/>
    <n v="7.8373185717818483E-2"/>
    <n v="8310"/>
    <n v="0.11761708999999999"/>
    <x v="0"/>
    <n v="1.2313702178251449E-3"/>
    <s v="Bad"/>
  </r>
  <r>
    <s v="OM"/>
    <s v="Social_MK~OM_TG"/>
    <s v="Interests"/>
    <s v="AR"/>
    <s v="Video"/>
    <s v="1x1"/>
    <n v="77953"/>
    <n v="146290"/>
    <n v="27.67"/>
    <n v="263"/>
    <n v="3962"/>
    <n v="3238"/>
    <n v="1.7977988926105681E-3"/>
    <n v="2.7083190922140954E-2"/>
    <n v="4032"/>
    <n v="5.1723470000000001E-2"/>
    <x v="0"/>
    <n v="3.3738278193270309E-3"/>
    <s v="Bad"/>
  </r>
  <r>
    <s v="BH"/>
    <s v="Social_MK~BH_TG"/>
    <s v="Interests"/>
    <s v="EN"/>
    <s v="Video"/>
    <s v="9x16"/>
    <n v="32792"/>
    <n v="94339"/>
    <n v="26.83"/>
    <n v="24"/>
    <n v="3747"/>
    <n v="38"/>
    <n v="2.5440167905108171E-4"/>
    <n v="3.9718462141850139E-2"/>
    <n v="3792"/>
    <n v="0.11563796"/>
    <x v="0"/>
    <n v="7.318858258111735E-4"/>
    <s v="Bad"/>
  </r>
  <r>
    <s v="JED"/>
    <s v="Social_MK~JED_TG"/>
    <s v="Interests"/>
    <s v="AR"/>
    <s v="Video"/>
    <s v="16x9"/>
    <n v="51725"/>
    <n v="95231"/>
    <n v="26.54"/>
    <n v="274"/>
    <n v="3854"/>
    <n v="97"/>
    <n v="2.877214352469259E-3"/>
    <n v="4.0470015016118702E-2"/>
    <n v="3914"/>
    <n v="7.5669410000000006E-2"/>
    <x v="0"/>
    <n v="5.2972450459159012E-3"/>
    <s v="Bad"/>
  </r>
  <r>
    <s v="QA"/>
    <s v="Social_MK~QA_TG"/>
    <s v="Interests"/>
    <s v="EN"/>
    <s v="Static"/>
    <s v="1x1"/>
    <n v="47389"/>
    <n v="98011"/>
    <n v="25.7"/>
    <n v="198"/>
    <n v="0"/>
    <n v="0"/>
    <n v="2.0201814082092826E-3"/>
    <n v="0"/>
    <n v="122"/>
    <n v="2.5744399999999999E-3"/>
    <x v="0"/>
    <n v="4.1781848108210767E-3"/>
    <s v="Bad"/>
  </r>
  <r>
    <s v="OM"/>
    <s v="Social_MK~OM_TG"/>
    <s v="Interests"/>
    <s v="AR"/>
    <s v="Video"/>
    <s v="9x16"/>
    <n v="71626"/>
    <n v="133304"/>
    <n v="25.46"/>
    <n v="52"/>
    <n v="7184"/>
    <n v="44"/>
    <n v="3.9008581888015366E-4"/>
    <n v="5.389185620836584E-2"/>
    <n v="7244"/>
    <n v="0.10113646"/>
    <x v="0"/>
    <n v="7.2599335436852538E-4"/>
    <s v="Bad"/>
  </r>
  <r>
    <s v="OM"/>
    <s v="Social_MK~OM_TG"/>
    <s v="Interests"/>
    <s v="EN"/>
    <s v="Video"/>
    <s v="1x1"/>
    <n v="74543"/>
    <n v="134861"/>
    <n v="25.14"/>
    <n v="446"/>
    <n v="3661"/>
    <n v="144"/>
    <n v="3.307108800913533E-3"/>
    <n v="2.7146469327678127E-2"/>
    <n v="3715"/>
    <n v="4.9837010000000001E-2"/>
    <x v="0"/>
    <n v="5.9831238345652848E-3"/>
    <s v="Bad"/>
  </r>
  <r>
    <s v="BH"/>
    <s v="Social_MK~BH_TG"/>
    <s v="Interests"/>
    <s v="AR"/>
    <s v="Static"/>
    <s v="1x1"/>
    <n v="43544"/>
    <n v="87119"/>
    <n v="24.89"/>
    <n v="179"/>
    <n v="0"/>
    <n v="0"/>
    <n v="2.0546608661715583E-3"/>
    <n v="0"/>
    <n v="126"/>
    <n v="2.89362E-3"/>
    <x v="0"/>
    <n v="4.1107844938453059E-3"/>
    <s v="Bad"/>
  </r>
  <r>
    <s v="JED"/>
    <s v="Social_MK~JED_TG"/>
    <s v="Interests"/>
    <s v="EN"/>
    <s v="Static"/>
    <s v="1x1"/>
    <n v="50080"/>
    <n v="83528"/>
    <n v="24.48"/>
    <n v="198"/>
    <n v="0"/>
    <n v="0"/>
    <n v="2.3704625993678768E-3"/>
    <n v="0"/>
    <n v="130"/>
    <n v="2.5958499999999998E-3"/>
    <x v="0"/>
    <n v="3.9536741214057508E-3"/>
    <s v="Bad"/>
  </r>
  <r>
    <s v="BH"/>
    <s v="Social_MK~BH_TG"/>
    <s v="Interests"/>
    <s v="EN"/>
    <s v="Video"/>
    <s v="1x1"/>
    <n v="36360"/>
    <n v="85579"/>
    <n v="24.11"/>
    <n v="154"/>
    <n v="2442"/>
    <n v="2086"/>
    <n v="1.7995068883721473E-3"/>
    <n v="2.8535037801329766E-2"/>
    <n v="2451"/>
    <n v="6.7409239999999995E-2"/>
    <x v="0"/>
    <n v="4.2354235423542356E-3"/>
    <s v="Bad"/>
  </r>
  <r>
    <s v="QA"/>
    <s v="Social_MK~QA_TG"/>
    <s v="Interests"/>
    <s v="EN"/>
    <s v="Video"/>
    <s v="9x16"/>
    <n v="57041"/>
    <n v="91545"/>
    <n v="24.08"/>
    <n v="38"/>
    <n v="4525"/>
    <n v="64"/>
    <n v="4.1509640067726253E-4"/>
    <n v="4.9429242449068767E-2"/>
    <n v="4561"/>
    <n v="7.9960030000000001E-2"/>
    <x v="0"/>
    <n v="6.6618747918164125E-4"/>
    <s v="Bad"/>
  </r>
  <r>
    <s v="QA"/>
    <s v="Social_MK~QA_TG"/>
    <s v="Interests"/>
    <s v="EN"/>
    <s v="Video"/>
    <s v="1x1"/>
    <n v="22840"/>
    <n v="31793"/>
    <n v="24"/>
    <n v="332"/>
    <n v="17042"/>
    <n v="81"/>
    <n v="1.0442550246909698E-2"/>
    <n v="0.53602994369829837"/>
    <n v="17338"/>
    <n v="0.75910683000000001"/>
    <x v="0"/>
    <n v="1.4535901926444829E-2"/>
    <s v="Bad"/>
  </r>
  <r>
    <s v="QA"/>
    <s v="Social_MK~QA_TG"/>
    <s v="Interests"/>
    <s v="EN"/>
    <s v="Video"/>
    <s v="16x9"/>
    <n v="29496"/>
    <n v="45258"/>
    <n v="23.99"/>
    <n v="217"/>
    <n v="13890"/>
    <n v="44"/>
    <n v="4.7947324229970388E-3"/>
    <n v="0.30690706615405011"/>
    <n v="14046"/>
    <n v="0.47620015999999998"/>
    <x v="0"/>
    <n v="7.356929753186873E-3"/>
    <s v="Bad"/>
  </r>
  <r>
    <s v="JED"/>
    <s v="Social_MK~JED_TG"/>
    <s v="Interests"/>
    <s v="AR"/>
    <s v="Carousel"/>
    <s v="1x1"/>
    <n v="48112"/>
    <n v="72350"/>
    <n v="23.57"/>
    <n v="150"/>
    <n v="2556"/>
    <n v="2657"/>
    <n v="2.0732550103662751E-3"/>
    <n v="3.5328265376641327E-2"/>
    <n v="2638"/>
    <n v="5.4830400000000001E-2"/>
    <x v="0"/>
    <n v="3.1177253076155641E-3"/>
    <s v="Bad"/>
  </r>
  <r>
    <s v="QA"/>
    <s v="Social_MK~QA_TG"/>
    <s v="Interests"/>
    <s v="EN"/>
    <s v="Video"/>
    <s v="1x1"/>
    <n v="16905"/>
    <n v="25953"/>
    <n v="22.74"/>
    <n v="253"/>
    <n v="16007"/>
    <n v="10"/>
    <n v="9.7483913227757873E-3"/>
    <n v="0.61676877432281429"/>
    <n v="16246"/>
    <n v="0.96101745000000005"/>
    <x v="0"/>
    <n v="1.4965986394557819E-2"/>
    <s v="Bad"/>
  </r>
  <r>
    <s v="QA"/>
    <s v="Social_MK~QA_TG"/>
    <s v="Interests"/>
    <s v="EN"/>
    <s v="Video"/>
    <s v="16x9"/>
    <n v="43326"/>
    <n v="90035"/>
    <n v="22.61"/>
    <n v="325"/>
    <n v="4475"/>
    <n v="202"/>
    <n v="3.6097073360359861E-3"/>
    <n v="4.9702893319264731E-2"/>
    <n v="4516"/>
    <n v="0.10423302"/>
    <x v="0"/>
    <n v="7.5012694455984857E-3"/>
    <s v="Bad"/>
  </r>
  <r>
    <s v="JED"/>
    <s v="Social_MK~JED_TG"/>
    <s v="Interests"/>
    <s v="EN"/>
    <s v="Video"/>
    <s v="1x1"/>
    <n v="34991"/>
    <n v="80209"/>
    <n v="22.21"/>
    <n v="164"/>
    <n v="1297"/>
    <n v="1129"/>
    <n v="2.0446583301125809E-3"/>
    <n v="1.61702552082684E-2"/>
    <n v="1332"/>
    <n v="3.8066929999999999E-2"/>
    <x v="0"/>
    <n v="4.6869194935840646E-3"/>
    <s v="Bad"/>
  </r>
  <r>
    <s v="KW"/>
    <s v="Social_MK~KW_TG"/>
    <s v="Interests"/>
    <s v="AR"/>
    <s v="Video"/>
    <s v="16x9"/>
    <n v="35120"/>
    <n v="63700"/>
    <n v="22"/>
    <n v="173"/>
    <n v="3610"/>
    <n v="163"/>
    <n v="2.71585557299843E-3"/>
    <n v="5.6671899529042384E-2"/>
    <n v="3669"/>
    <n v="0.10447039"/>
    <x v="0"/>
    <n v="4.9259681093394084E-3"/>
    <s v="Bad"/>
  </r>
  <r>
    <s v="KW"/>
    <s v="Social_MK~KW_TG"/>
    <s v="Interests"/>
    <s v="EN"/>
    <s v="Static"/>
    <s v="1x1"/>
    <n v="37209"/>
    <n v="66661"/>
    <n v="21.93"/>
    <n v="168"/>
    <n v="0"/>
    <n v="0"/>
    <n v="2.5202142182085478E-3"/>
    <n v="0"/>
    <n v="104"/>
    <n v="2.7950200000000001E-3"/>
    <x v="0"/>
    <n v="4.5150366846730631E-3"/>
    <s v="Bad"/>
  </r>
  <r>
    <s v="JED"/>
    <s v="Social_MK~JED_TG"/>
    <s v="CDP"/>
    <s v="EN"/>
    <s v="Video"/>
    <s v="1x1"/>
    <n v="1922"/>
    <n v="4992"/>
    <n v="21.19"/>
    <n v="138"/>
    <n v="3489"/>
    <n v="17"/>
    <n v="2.7644230769230768E-2"/>
    <n v="0.69891826923076927"/>
    <n v="3624"/>
    <n v="1.8855359"/>
    <x v="1"/>
    <n v="7.1800208116545264E-2"/>
    <s v="Good"/>
  </r>
  <r>
    <s v="KW"/>
    <s v="Social_MK~KW_TG"/>
    <s v="Interests"/>
    <s v="EN"/>
    <s v="Static"/>
    <s v="1x1"/>
    <n v="30784"/>
    <n v="57765"/>
    <n v="20.86"/>
    <n v="128"/>
    <n v="0"/>
    <n v="0"/>
    <n v="2.2158746645892843E-3"/>
    <n v="0"/>
    <n v="76"/>
    <n v="2.4688100000000001E-3"/>
    <x v="0"/>
    <n v="4.1580041580041582E-3"/>
    <s v="Bad"/>
  </r>
  <r>
    <s v="JED"/>
    <s v="Social_MK~JED_TG"/>
    <s v="CDP"/>
    <s v="AR"/>
    <s v="Video"/>
    <s v="1x1"/>
    <n v="3172"/>
    <n v="12106"/>
    <n v="20.82"/>
    <n v="65"/>
    <n v="862"/>
    <n v="22"/>
    <n v="5.3692383941847015E-3"/>
    <n v="7.1204361473649433E-2"/>
    <n v="883"/>
    <n v="0.27837327000000001"/>
    <x v="1"/>
    <n v="2.049180327868852E-2"/>
    <s v="Bad"/>
  </r>
  <r>
    <s v="QA"/>
    <s v="Social_MK~QA_TG"/>
    <s v="Interests"/>
    <s v="AR"/>
    <s v="Static"/>
    <s v="1x1"/>
    <n v="40014"/>
    <n v="77493"/>
    <n v="20.41"/>
    <n v="160"/>
    <n v="0"/>
    <n v="0"/>
    <n v="2.0647026183010079E-3"/>
    <n v="0"/>
    <n v="108"/>
    <n v="2.6990600000000001E-3"/>
    <x v="0"/>
    <n v="3.9986004898285602E-3"/>
    <s v="Bad"/>
  </r>
  <r>
    <s v="QA"/>
    <s v="Social_MK~QA_TG"/>
    <s v="Interests"/>
    <s v="EN"/>
    <s v="Video"/>
    <s v="1x1"/>
    <n v="43053"/>
    <n v="81139"/>
    <n v="20.350000000000001"/>
    <n v="254"/>
    <n v="1977"/>
    <n v="94"/>
    <n v="3.1304304958158224E-3"/>
    <n v="2.4365594843416851E-2"/>
    <n v="2013"/>
    <n v="4.6756319999999997E-2"/>
    <x v="0"/>
    <n v="5.8997050147492616E-3"/>
    <s v="Bad"/>
  </r>
  <r>
    <s v="OM"/>
    <s v="Social_MK~OM_TG"/>
    <s v="Interests"/>
    <s v="AR"/>
    <s v="Video"/>
    <s v="9x16"/>
    <n v="61166"/>
    <n v="102413"/>
    <n v="19.37"/>
    <n v="36"/>
    <n v="3034"/>
    <n v="14"/>
    <n v="3.5151787370743949E-4"/>
    <n v="2.9625145245232538E-2"/>
    <n v="3060"/>
    <n v="5.0027790000000003E-2"/>
    <x v="0"/>
    <n v="5.8856227315829052E-4"/>
    <s v="Bad"/>
  </r>
  <r>
    <s v="JED"/>
    <s v="Social_MK~JED_TG"/>
    <s v="CDP"/>
    <s v="AR"/>
    <s v="Video"/>
    <s v="1x1"/>
    <n v="3332"/>
    <n v="11918"/>
    <n v="18.93"/>
    <n v="55"/>
    <n v="614"/>
    <n v="572"/>
    <n v="4.6148682664876655E-3"/>
    <n v="5.151871119315321E-2"/>
    <n v="627"/>
    <n v="0.18817527000000001"/>
    <x v="1"/>
    <n v="1.6506602641056418E-2"/>
    <s v="Bad"/>
  </r>
  <r>
    <s v="OM"/>
    <s v="Social_MK~OM_TG"/>
    <s v="Interests"/>
    <s v="EN"/>
    <s v="Static"/>
    <s v="1x1"/>
    <n v="48718"/>
    <n v="98421"/>
    <n v="18.920000000000002"/>
    <n v="228"/>
    <n v="0"/>
    <n v="0"/>
    <n v="2.3165787789191333E-3"/>
    <n v="0"/>
    <n v="135"/>
    <n v="2.7710500000000002E-3"/>
    <x v="0"/>
    <n v="4.6799950736893959E-3"/>
    <s v="Bad"/>
  </r>
  <r>
    <s v="OM"/>
    <s v="Social_MK~OM_TG"/>
    <s v="Interests"/>
    <s v="EN"/>
    <s v="Video"/>
    <s v="1x1"/>
    <n v="46006"/>
    <n v="99290"/>
    <n v="18.84"/>
    <n v="177"/>
    <n v="1874"/>
    <n v="1627"/>
    <n v="1.7826568637325008E-3"/>
    <n v="1.8874005438614162E-2"/>
    <n v="1913"/>
    <n v="4.1581529999999998E-2"/>
    <x v="0"/>
    <n v="3.8473242620527758E-3"/>
    <s v="Bad"/>
  </r>
  <r>
    <s v="BH"/>
    <s v="Social_MK~BH_TG"/>
    <s v="Interests"/>
    <s v="AR"/>
    <s v="Video"/>
    <s v="1x1"/>
    <n v="35647"/>
    <n v="67183"/>
    <n v="18.420000000000002"/>
    <n v="221"/>
    <n v="2596"/>
    <n v="87"/>
    <n v="3.2895226470982244E-3"/>
    <n v="3.8640727565009005E-2"/>
    <n v="2628"/>
    <n v="7.3722889999999999E-2"/>
    <x v="0"/>
    <n v="6.1996801974920747E-3"/>
    <s v="Bad"/>
  </r>
  <r>
    <s v="QA"/>
    <s v="Social_MK~QA_TG"/>
    <s v="Interests"/>
    <s v="EN"/>
    <s v="Video"/>
    <s v="16x9"/>
    <n v="33128"/>
    <n v="71372"/>
    <n v="18.41"/>
    <n v="191"/>
    <n v="2100"/>
    <n v="62"/>
    <n v="2.6761194866334135E-3"/>
    <n v="2.9423303256178895E-2"/>
    <n v="2142"/>
    <n v="6.4658300000000002E-2"/>
    <x v="0"/>
    <n v="5.7655155759478386E-3"/>
    <s v="Bad"/>
  </r>
  <r>
    <s v="OM"/>
    <s v="Social_MK~OM_TG"/>
    <s v="Interests"/>
    <s v="AR"/>
    <s v="Video"/>
    <s v="1x1"/>
    <n v="55552"/>
    <n v="93929"/>
    <n v="18.16"/>
    <n v="314"/>
    <n v="3532"/>
    <n v="148"/>
    <n v="3.3429505264614763E-3"/>
    <n v="3.7602870253063483E-2"/>
    <n v="3610"/>
    <n v="6.4984159999999999E-2"/>
    <x v="0"/>
    <n v="5.6523617511520744E-3"/>
    <s v="Bad"/>
  </r>
  <r>
    <s v="JED"/>
    <s v="Social_MK~JED_TG"/>
    <s v="Interests"/>
    <s v="EN"/>
    <s v="Video"/>
    <s v="9x16"/>
    <n v="48929"/>
    <n v="62862"/>
    <n v="18.02"/>
    <n v="26"/>
    <n v="3348"/>
    <n v="48"/>
    <n v="4.1360440329610894E-4"/>
    <n v="5.3259520855206646E-2"/>
    <n v="3375"/>
    <n v="6.8977499999999997E-2"/>
    <x v="0"/>
    <n v="5.3138220687118072E-4"/>
    <s v="Bad"/>
  </r>
  <r>
    <s v="BH"/>
    <s v="Social_MK~BH_TG"/>
    <s v="Interests"/>
    <s v="EN"/>
    <s v="Static"/>
    <s v="1x1"/>
    <n v="36344"/>
    <n v="64790"/>
    <n v="17.510000000000002"/>
    <n v="104"/>
    <n v="0"/>
    <n v="0"/>
    <n v="1.6051859854915881E-3"/>
    <n v="0"/>
    <n v="55"/>
    <n v="1.5133200000000001E-3"/>
    <x v="0"/>
    <n v="2.8615452344265902E-3"/>
    <s v="Bad"/>
  </r>
  <r>
    <s v="BH"/>
    <s v="Social_MK~BH_TG"/>
    <s v="Interests"/>
    <s v="EN"/>
    <s v="Video"/>
    <s v="1x1"/>
    <n v="13756"/>
    <n v="18147"/>
    <n v="17.440000000000001"/>
    <n v="349"/>
    <n v="12799"/>
    <n v="18"/>
    <n v="1.9231828952443929E-2"/>
    <n v="0.70529564115280763"/>
    <n v="13146"/>
    <n v="0.95565571000000005"/>
    <x v="0"/>
    <n v="2.5370747310264612E-2"/>
    <s v="Good"/>
  </r>
  <r>
    <s v="QA"/>
    <s v="Social_MK~QA_TG"/>
    <s v="Interests"/>
    <s v="AR"/>
    <s v="Video"/>
    <s v="16x9"/>
    <n v="39215"/>
    <n v="68617"/>
    <n v="17.329999999999998"/>
    <n v="180"/>
    <n v="2665"/>
    <n v="68"/>
    <n v="2.6232566273663963E-3"/>
    <n v="3.8838771732952478E-2"/>
    <n v="2680"/>
    <n v="6.8341200000000005E-2"/>
    <x v="0"/>
    <n v="4.5900803264057122E-3"/>
    <s v="Bad"/>
  </r>
  <r>
    <s v="JED"/>
    <s v="Social_MK~JED_TG"/>
    <s v="CDP"/>
    <s v="AR"/>
    <s v="Static"/>
    <s v="1x1"/>
    <n v="2919"/>
    <n v="11352"/>
    <n v="17.29"/>
    <n v="63"/>
    <n v="0"/>
    <n v="0"/>
    <n v="5.549682875264271E-3"/>
    <n v="0"/>
    <n v="40"/>
    <n v="1.370332E-2"/>
    <x v="1"/>
    <n v="2.1582733812949641E-2"/>
    <s v="Bad"/>
  </r>
  <r>
    <s v="OM"/>
    <s v="Social_MK~OM_TG"/>
    <s v="Interests"/>
    <s v="EN"/>
    <s v="Static"/>
    <s v="1x1"/>
    <n v="48577"/>
    <n v="83062"/>
    <n v="16.7"/>
    <n v="196"/>
    <n v="0"/>
    <n v="0"/>
    <n v="2.3596831282656329E-3"/>
    <n v="0"/>
    <n v="126"/>
    <n v="2.5938200000000002E-3"/>
    <x v="0"/>
    <n v="4.0348312987627888E-3"/>
    <s v="Bad"/>
  </r>
  <r>
    <s v="OM"/>
    <s v="Social_MK~OM_TG"/>
    <s v="Interests"/>
    <s v="EN"/>
    <s v="Video"/>
    <s v="16x9"/>
    <n v="48014"/>
    <n v="84105"/>
    <n v="16.02"/>
    <n v="294"/>
    <n v="4125"/>
    <n v="179"/>
    <n v="3.495630461922597E-3"/>
    <n v="4.9045835562689495E-2"/>
    <n v="4219"/>
    <n v="8.7870199999999996E-2"/>
    <x v="0"/>
    <n v="6.1232140625650851E-3"/>
    <s v="Bad"/>
  </r>
  <r>
    <s v="JED"/>
    <s v="Social_MK~JED_TG"/>
    <s v="CDP"/>
    <s v="EN"/>
    <s v="Video"/>
    <s v="16x9"/>
    <n v="1788"/>
    <n v="6410"/>
    <n v="15.92"/>
    <n v="53"/>
    <n v="1790"/>
    <n v="18"/>
    <n v="8.2683307332293288E-3"/>
    <n v="0.27925117004680189"/>
    <n v="1836"/>
    <n v="1.0268456399999999"/>
    <x v="1"/>
    <n v="2.9642058165548098E-2"/>
    <s v="Bad"/>
  </r>
  <r>
    <s v="JED"/>
    <s v="Social_MK~JED_TG"/>
    <s v="CDP"/>
    <s v="EN"/>
    <s v="Static"/>
    <s v="1x1"/>
    <n v="4157"/>
    <n v="10926"/>
    <n v="15.76"/>
    <n v="43"/>
    <n v="0"/>
    <n v="0"/>
    <n v="3.9355665385319418E-3"/>
    <n v="0"/>
    <n v="20"/>
    <n v="4.8111600000000001E-3"/>
    <x v="1"/>
    <n v="1.034399807553524E-2"/>
    <s v="Bad"/>
  </r>
  <r>
    <s v="RIY"/>
    <s v="Social_MK~RIY_TG"/>
    <s v="CDP"/>
    <s v="AR"/>
    <s v="Video"/>
    <s v="1x1"/>
    <n v="1360"/>
    <n v="4147"/>
    <n v="15.67"/>
    <n v="67"/>
    <n v="2703"/>
    <n v="6"/>
    <n v="1.6156257535567882E-2"/>
    <n v="0.65179647938268626"/>
    <n v="2764"/>
    <n v="2.03235294"/>
    <x v="1"/>
    <n v="4.926470588235294E-2"/>
    <s v="Good"/>
  </r>
  <r>
    <s v="BH"/>
    <s v="Social_MK~BH_TG"/>
    <s v="Interests"/>
    <s v="AR"/>
    <s v="Video"/>
    <s v="16x9"/>
    <n v="27600"/>
    <n v="57045"/>
    <n v="15.63"/>
    <n v="157"/>
    <n v="3350"/>
    <n v="134"/>
    <n v="2.7522131650451398E-3"/>
    <n v="5.8725567534402667E-2"/>
    <n v="3383"/>
    <n v="0.12257245999999999"/>
    <x v="0"/>
    <n v="5.6884057971014496E-3"/>
    <s v="Bad"/>
  </r>
  <r>
    <s v="QA"/>
    <s v="Social_MK~QA_TG"/>
    <s v="Interests"/>
    <s v="EN"/>
    <s v="Video"/>
    <s v="9x16"/>
    <n v="44072"/>
    <n v="59902"/>
    <n v="15.52"/>
    <n v="35"/>
    <n v="2361"/>
    <n v="31"/>
    <n v="5.842876698607726E-4"/>
    <n v="3.9414376815465259E-2"/>
    <n v="2393"/>
    <n v="5.429751E-2"/>
    <x v="0"/>
    <n v="7.9415501905972044E-4"/>
    <s v="Bad"/>
  </r>
  <r>
    <s v="RIY"/>
    <s v="Social_MK~RIY_TG"/>
    <s v="CDP"/>
    <s v="AR"/>
    <s v="Video"/>
    <s v="9x16"/>
    <n v="3302"/>
    <n v="8980"/>
    <n v="15.49"/>
    <n v="5"/>
    <n v="445"/>
    <n v="3"/>
    <n v="5.5679287305122492E-4"/>
    <n v="4.9554565701559021E-2"/>
    <n v="449"/>
    <n v="0.13597819999999999"/>
    <x v="1"/>
    <n v="1.5142337976983651E-3"/>
    <s v="Bad"/>
  </r>
  <r>
    <s v="JED"/>
    <s v="Social_MK~JED_TG"/>
    <s v="Interests"/>
    <s v="EN"/>
    <s v="Carousel"/>
    <s v="1x1"/>
    <n v="33904"/>
    <n v="49199"/>
    <n v="15.25"/>
    <n v="84"/>
    <n v="1836"/>
    <n v="1865"/>
    <n v="1.7073517754425903E-3"/>
    <n v="3.7317831663245191E-2"/>
    <n v="1880"/>
    <n v="5.5450680000000002E-2"/>
    <x v="0"/>
    <n v="2.477583765927324E-3"/>
    <s v="Bad"/>
  </r>
  <r>
    <s v="OM"/>
    <s v="Social_MK~OM_TG"/>
    <s v="Interests"/>
    <s v="AR"/>
    <s v="Video"/>
    <s v="1x1"/>
    <n v="49201"/>
    <n v="80609"/>
    <n v="15.25"/>
    <n v="280"/>
    <n v="2675"/>
    <n v="76"/>
    <n v="3.4735575432023719E-3"/>
    <n v="3.3184880100236944E-2"/>
    <n v="2729"/>
    <n v="5.5466349999999998E-2"/>
    <x v="0"/>
    <n v="5.6909412410316874E-3"/>
    <s v="Bad"/>
  </r>
  <r>
    <s v="QA"/>
    <s v="Social_MK~QA_TG"/>
    <s v="Interests"/>
    <s v="EN"/>
    <s v="Static"/>
    <s v="1x1"/>
    <n v="25560"/>
    <n v="57561"/>
    <n v="15.16"/>
    <n v="164"/>
    <n v="0"/>
    <n v="0"/>
    <n v="2.8491513351053665E-3"/>
    <n v="0"/>
    <n v="105"/>
    <n v="4.1079799999999998E-3"/>
    <x v="0"/>
    <n v="6.4162754303599377E-3"/>
    <s v="Bad"/>
  </r>
  <r>
    <s v="BH"/>
    <s v="Social_MK~BH_TG"/>
    <s v="Interests"/>
    <s v="AR"/>
    <s v="Video"/>
    <s v="9x16"/>
    <n v="21963"/>
    <n v="55635"/>
    <n v="15.02"/>
    <n v="17"/>
    <n v="1948"/>
    <n v="10"/>
    <n v="3.0556304484587041E-4"/>
    <n v="3.5013930079985621E-2"/>
    <n v="1971"/>
    <n v="8.9741840000000003E-2"/>
    <x v="0"/>
    <n v="7.7402904885489233E-4"/>
    <s v="Bad"/>
  </r>
  <r>
    <s v="JED"/>
    <s v="Social_MK~JED_TG"/>
    <s v="CDP"/>
    <s v="AR"/>
    <s v="Static"/>
    <s v="1x1"/>
    <n v="2830"/>
    <n v="9349"/>
    <n v="14.93"/>
    <n v="36"/>
    <n v="0"/>
    <n v="0"/>
    <n v="3.8506792170285593E-3"/>
    <n v="0"/>
    <n v="21"/>
    <n v="7.4204900000000001E-3"/>
    <x v="1"/>
    <n v="1.27208480565371E-2"/>
    <s v="Bad"/>
  </r>
  <r>
    <s v="QA"/>
    <s v="Social_MK~QA_TG"/>
    <s v="Interests"/>
    <s v="EN"/>
    <s v="Video"/>
    <s v="9x16"/>
    <n v="44033"/>
    <n v="58612"/>
    <n v="14.91"/>
    <n v="47"/>
    <n v="3700"/>
    <n v="117"/>
    <n v="8.018835733296936E-4"/>
    <n v="6.3127004708933329E-2"/>
    <n v="3740"/>
    <n v="8.4936300000000006E-2"/>
    <x v="0"/>
    <n v="1.0673812822201529E-3"/>
    <s v="Bad"/>
  </r>
  <r>
    <s v="JED"/>
    <s v="Social_MK~JED_TG"/>
    <s v="CDP"/>
    <s v="EN"/>
    <s v="Video"/>
    <s v="16x9"/>
    <n v="1397"/>
    <n v="9120"/>
    <n v="14.78"/>
    <n v="39"/>
    <n v="717"/>
    <n v="16"/>
    <n v="4.2763157894736845E-3"/>
    <n v="7.8618421052631574E-2"/>
    <n v="729"/>
    <n v="0.52183250000000003"/>
    <x v="1"/>
    <n v="2.7916964924838941E-2"/>
    <s v="Bad"/>
  </r>
  <r>
    <s v="QA"/>
    <s v="Social_MK~QA_TG"/>
    <s v="Interests"/>
    <s v="AR"/>
    <s v="Video"/>
    <s v="1x1"/>
    <n v="36088"/>
    <n v="56645"/>
    <n v="14.27"/>
    <n v="170"/>
    <n v="1822"/>
    <n v="71"/>
    <n v="3.0011474975726012E-3"/>
    <n v="3.2165239650454584E-2"/>
    <n v="1835"/>
    <n v="5.084793E-2"/>
    <x v="0"/>
    <n v="4.7107071602748834E-3"/>
    <s v="Bad"/>
  </r>
  <r>
    <s v="BH"/>
    <s v="Social_MK~BH_TG"/>
    <s v="Interests"/>
    <s v="AR"/>
    <s v="Video"/>
    <s v="16x9"/>
    <n v="30973"/>
    <n v="51496"/>
    <n v="14.02"/>
    <n v="112"/>
    <n v="2260"/>
    <n v="47"/>
    <n v="2.1749262078608047E-3"/>
    <n v="4.3886903837191238E-2"/>
    <n v="2285"/>
    <n v="7.3773930000000001E-2"/>
    <x v="0"/>
    <n v="3.6160526910534981E-3"/>
    <s v="Bad"/>
  </r>
  <r>
    <s v="QA"/>
    <s v="Social_MK~QA_TG"/>
    <s v="Interests"/>
    <s v="AR"/>
    <s v="Video"/>
    <s v="1x1"/>
    <n v="27455"/>
    <n v="54314"/>
    <n v="13.8"/>
    <n v="101"/>
    <n v="823"/>
    <n v="712"/>
    <n v="1.8595573885186139E-3"/>
    <n v="1.5152630997532864E-2"/>
    <n v="847"/>
    <n v="3.085048E-2"/>
    <x v="0"/>
    <n v="3.678747040611911E-3"/>
    <s v="Bad"/>
  </r>
  <r>
    <s v="KW"/>
    <s v="Social_MK~KW_TG"/>
    <s v="Interests"/>
    <s v="EN"/>
    <s v="Video"/>
    <s v="1x1"/>
    <n v="11776"/>
    <n v="16294"/>
    <n v="13.74"/>
    <n v="168"/>
    <n v="7518"/>
    <n v="27"/>
    <n v="1.0310543758438689E-2"/>
    <n v="0.46139683319013136"/>
    <n v="7680"/>
    <n v="0.65217391000000002"/>
    <x v="0"/>
    <n v="1.426630434782609E-2"/>
    <s v="Bad"/>
  </r>
  <r>
    <s v="KW"/>
    <s v="Social_MK~KW_TG"/>
    <s v="Interests"/>
    <s v="AR"/>
    <s v="Video"/>
    <s v="9x16"/>
    <n v="30575"/>
    <n v="43771"/>
    <n v="13.73"/>
    <n v="28"/>
    <n v="2805"/>
    <n v="40"/>
    <n v="6.3969294738525507E-4"/>
    <n v="6.4083525621987159E-2"/>
    <n v="2830"/>
    <n v="9.2559279999999994E-2"/>
    <x v="0"/>
    <n v="9.157808667211774E-4"/>
    <s v="Bad"/>
  </r>
  <r>
    <s v="BH"/>
    <s v="Social_MK~BH_TG"/>
    <s v="Interests"/>
    <s v="EN"/>
    <s v="Static"/>
    <s v="1x1"/>
    <n v="26736"/>
    <n v="46831"/>
    <n v="13.24"/>
    <n v="96"/>
    <n v="0"/>
    <n v="0"/>
    <n v="2.04992419551152E-3"/>
    <n v="0"/>
    <n v="60"/>
    <n v="2.2441700000000002E-3"/>
    <x v="0"/>
    <n v="3.5906642728904849E-3"/>
    <s v="Bad"/>
  </r>
  <r>
    <s v="JED"/>
    <s v="Social_MK~JED_TG"/>
    <s v="CDP"/>
    <s v="EN"/>
    <s v="Video"/>
    <s v="16x9"/>
    <n v="1972"/>
    <n v="7876"/>
    <n v="13.05"/>
    <n v="42"/>
    <n v="837"/>
    <n v="27"/>
    <n v="5.3326561706449971E-3"/>
    <n v="0.10627221940071102"/>
    <n v="855"/>
    <n v="0.43356998000000002"/>
    <x v="1"/>
    <n v="2.1298174442190669E-2"/>
    <s v="Bad"/>
  </r>
  <r>
    <s v="QA"/>
    <s v="Social_MK~QA_TG"/>
    <s v="Interests"/>
    <s v="AR"/>
    <s v="Video"/>
    <s v="9x16"/>
    <n v="43855"/>
    <n v="52325"/>
    <n v="12.92"/>
    <n v="42"/>
    <n v="2688"/>
    <n v="18"/>
    <n v="8.0267558528428098E-4"/>
    <n v="5.1371237458193983E-2"/>
    <n v="2726"/>
    <n v="6.2159390000000002E-2"/>
    <x v="0"/>
    <n v="9.5770151636073427E-4"/>
    <s v="Bad"/>
  </r>
  <r>
    <s v="BH"/>
    <s v="Social_MK~BH_TG"/>
    <s v="Interests"/>
    <s v="EN"/>
    <s v="Video"/>
    <s v="16x9"/>
    <n v="27480"/>
    <n v="47601"/>
    <n v="12.72"/>
    <n v="137"/>
    <n v="2915"/>
    <n v="120"/>
    <n v="2.8780907964118399E-3"/>
    <n v="6.1238209281317617E-2"/>
    <n v="2954"/>
    <n v="0.10749636"/>
    <x v="0"/>
    <n v="4.985443959243086E-3"/>
    <s v="Bad"/>
  </r>
  <r>
    <s v="QA"/>
    <s v="Social_MK~QA_TG"/>
    <s v="Interests"/>
    <s v="AR"/>
    <s v="Video"/>
    <s v="16x9"/>
    <n v="31183"/>
    <n v="49744"/>
    <n v="12.67"/>
    <n v="128"/>
    <n v="2265"/>
    <n v="95"/>
    <n v="2.5731746542296558E-3"/>
    <n v="4.5533129623673209E-2"/>
    <n v="2288"/>
    <n v="7.3373309999999997E-2"/>
    <x v="0"/>
    <n v="4.1048006926851172E-3"/>
    <s v="Bad"/>
  </r>
  <r>
    <s v="QA"/>
    <s v="Social_MK~QA_TG"/>
    <s v="Interests"/>
    <s v="EN"/>
    <s v="Carousel"/>
    <s v="1x1"/>
    <n v="27576"/>
    <n v="45942"/>
    <n v="12.32"/>
    <n v="99"/>
    <n v="2060"/>
    <n v="2027"/>
    <n v="2.1548909494580122E-3"/>
    <n v="4.4839145008924296E-2"/>
    <n v="2114"/>
    <n v="7.6660859999999997E-2"/>
    <x v="0"/>
    <n v="3.590078328981723E-3"/>
    <s v="Bad"/>
  </r>
  <r>
    <s v="JED"/>
    <s v="Social_MK~JED_TG"/>
    <s v="CDP"/>
    <s v="EN"/>
    <s v="Video"/>
    <s v="9x16"/>
    <n v="2238"/>
    <n v="6416"/>
    <n v="11.41"/>
    <n v="3"/>
    <n v="275"/>
    <n v="4"/>
    <n v="4.6758104738154612E-4"/>
    <n v="4.2861596009975064E-2"/>
    <n v="281"/>
    <n v="0.12555853"/>
    <x v="1"/>
    <n v="1.340482573726542E-3"/>
    <s v="Bad"/>
  </r>
  <r>
    <s v="BH"/>
    <s v="Social_MK~BH_TG"/>
    <s v="Interests"/>
    <s v="EN"/>
    <s v="Video"/>
    <s v="1x1"/>
    <n v="22323"/>
    <n v="42431"/>
    <n v="11.38"/>
    <n v="126"/>
    <n v="1482"/>
    <n v="68"/>
    <n v="2.9695269967712286E-3"/>
    <n v="3.4927293723928263E-2"/>
    <n v="1503"/>
    <n v="6.732966E-2"/>
    <x v="0"/>
    <n v="5.6444026340545629E-3"/>
    <s v="Bad"/>
  </r>
  <r>
    <s v="BH"/>
    <s v="Social_MK~BH_TG"/>
    <s v="Interests"/>
    <s v="EN"/>
    <s v="Video"/>
    <s v="9x16"/>
    <n v="23088"/>
    <n v="40191"/>
    <n v="11.35"/>
    <n v="15"/>
    <n v="2015"/>
    <n v="35"/>
    <n v="3.7321788460103008E-4"/>
    <n v="5.013560249807171E-2"/>
    <n v="2034"/>
    <n v="8.8097709999999996E-2"/>
    <x v="0"/>
    <n v="6.4968814968814972E-4"/>
    <s v="Bad"/>
  </r>
  <r>
    <s v="OM"/>
    <s v="Social_MK~OM_TG"/>
    <s v="Interests"/>
    <s v="EN"/>
    <s v="Video"/>
    <s v="16x9"/>
    <n v="37920"/>
    <n v="60724"/>
    <n v="11.17"/>
    <n v="135"/>
    <n v="1882"/>
    <n v="43"/>
    <n v="2.2231737039720705E-3"/>
    <n v="3.0992688228706936E-2"/>
    <n v="1915"/>
    <n v="5.0501049999999999E-2"/>
    <x v="0"/>
    <n v="3.5601265822784809E-3"/>
    <s v="Bad"/>
  </r>
  <r>
    <s v="JED"/>
    <s v="Social_MK~JED_TG"/>
    <s v="CDP"/>
    <s v="EN"/>
    <s v="Video"/>
    <s v="9x16"/>
    <n v="2150"/>
    <n v="6112"/>
    <n v="10.94"/>
    <n v="2"/>
    <n v="370"/>
    <n v="4"/>
    <n v="3.2722513089005238E-4"/>
    <n v="6.0536649214659684E-2"/>
    <n v="373"/>
    <n v="0.17348837"/>
    <x v="1"/>
    <n v="9.3023255813953494E-4"/>
    <s v="Bad"/>
  </r>
  <r>
    <s v="KW"/>
    <s v="Social_MK~KW_TG"/>
    <s v="Interests"/>
    <s v="EN"/>
    <s v="Video"/>
    <s v="9x16"/>
    <n v="22416"/>
    <n v="34165"/>
    <n v="10.77"/>
    <n v="17"/>
    <n v="1298"/>
    <n v="16"/>
    <n v="4.9758524806088101E-4"/>
    <n v="3.7992097175471973E-2"/>
    <n v="1316"/>
    <n v="5.8708070000000001E-2"/>
    <x v="0"/>
    <n v="7.5838686652391154E-4"/>
    <s v="Bad"/>
  </r>
  <r>
    <s v="RIY"/>
    <s v="Social_MK~RIY_TG"/>
    <s v="CDP"/>
    <s v="AR"/>
    <s v="Video"/>
    <s v="9x16"/>
    <n v="2331"/>
    <n v="6184"/>
    <n v="10.69"/>
    <n v="3"/>
    <n v="424"/>
    <n v="8"/>
    <n v="4.8512289780077621E-4"/>
    <n v="6.85640362225097E-2"/>
    <n v="426"/>
    <n v="0.18275417999999999"/>
    <x v="1"/>
    <n v="1.287001287001287E-3"/>
    <s v="Bad"/>
  </r>
  <r>
    <s v="OM"/>
    <s v="Social_MK~OM_TG"/>
    <s v="Interests"/>
    <s v="EN"/>
    <s v="Video"/>
    <s v="9x16"/>
    <n v="39672"/>
    <n v="52086"/>
    <n v="10.29"/>
    <n v="35"/>
    <n v="2679"/>
    <n v="62"/>
    <n v="6.7196559536151753E-4"/>
    <n v="5.1434166570671583E-2"/>
    <n v="2710"/>
    <n v="6.8310140000000005E-2"/>
    <x v="0"/>
    <n v="8.8223432143577337E-4"/>
    <s v="Bad"/>
  </r>
  <r>
    <s v="BH"/>
    <s v="Social_MK~BH_TG"/>
    <s v="Interests"/>
    <s v="EN"/>
    <s v="Carousel"/>
    <s v="1x1"/>
    <n v="22296"/>
    <n v="33841"/>
    <n v="10.19"/>
    <n v="39"/>
    <n v="1690"/>
    <n v="1708"/>
    <n v="1.1524482137052687E-3"/>
    <n v="4.9939422593894979E-2"/>
    <n v="1706"/>
    <n v="7.6515970000000003E-2"/>
    <x v="0"/>
    <n v="1.7491926803013991E-3"/>
    <s v="Bad"/>
  </r>
  <r>
    <s v="JED"/>
    <s v="Social_MK~JED_TG"/>
    <s v="CDP"/>
    <s v="AR"/>
    <s v="Video"/>
    <s v="1x1"/>
    <n v="1884"/>
    <n v="6364"/>
    <n v="10.09"/>
    <n v="40"/>
    <n v="427"/>
    <n v="26"/>
    <n v="6.285355122564425E-3"/>
    <n v="6.7096165933375237E-2"/>
    <n v="443"/>
    <n v="0.23513800000000001"/>
    <x v="1"/>
    <n v="2.1231422505307851E-2"/>
    <s v="Bad"/>
  </r>
  <r>
    <s v="JED"/>
    <s v="Social_MK~JED_TG"/>
    <s v="CDP"/>
    <s v="EN"/>
    <s v="Video"/>
    <s v="16x9"/>
    <n v="837"/>
    <n v="4230"/>
    <n v="9.9"/>
    <n v="29"/>
    <n v="1148"/>
    <n v="6"/>
    <n v="6.8557919621749413E-3"/>
    <n v="0.27139479905437353"/>
    <n v="1171"/>
    <n v="1.39904421"/>
    <x v="1"/>
    <n v="3.4647550776583033E-2"/>
    <s v="Bad"/>
  </r>
  <r>
    <s v="JED"/>
    <s v="Social_MK~JED_TG"/>
    <s v="Interests"/>
    <s v="EN"/>
    <s v="Video"/>
    <s v="1x1"/>
    <n v="10228"/>
    <n v="12546"/>
    <n v="9.68"/>
    <n v="189"/>
    <n v="5894"/>
    <n v="16"/>
    <n v="1.5064562410329985E-2"/>
    <n v="0.46979116849992031"/>
    <n v="6079"/>
    <n v="0.59434885000000004"/>
    <x v="0"/>
    <n v="1.84786859601095E-2"/>
    <s v="Good"/>
  </r>
  <r>
    <s v="JED"/>
    <s v="Social_MK~JED_TG"/>
    <s v="CDP"/>
    <s v="EN"/>
    <s v="Video"/>
    <s v="1x1"/>
    <n v="2004"/>
    <n v="6223"/>
    <n v="9.61"/>
    <n v="22"/>
    <n v="317"/>
    <n v="279"/>
    <n v="3.5352723766672025E-3"/>
    <n v="5.0940061063795596E-2"/>
    <n v="324"/>
    <n v="0.16167665000000001"/>
    <x v="1"/>
    <n v="1.0978043912175651E-2"/>
    <s v="Bad"/>
  </r>
  <r>
    <s v="OM"/>
    <s v="Social_MK~OM_TG"/>
    <s v="Interests"/>
    <s v="AR"/>
    <s v="Carousel"/>
    <s v="9x16"/>
    <n v="19820"/>
    <n v="46822"/>
    <n v="9.48"/>
    <n v="11"/>
    <n v="570"/>
    <n v="115"/>
    <n v="2.3493229678356328E-4"/>
    <n v="1.2173764469693734E-2"/>
    <n v="578"/>
    <n v="2.9162460000000001E-2"/>
    <x v="0"/>
    <n v="5.5499495459132185E-4"/>
    <s v="Bad"/>
  </r>
  <r>
    <s v="BH"/>
    <s v="Social_MK~BH_TG"/>
    <s v="Interests"/>
    <s v="AR"/>
    <s v="Video"/>
    <s v="9x16"/>
    <n v="16319"/>
    <n v="34405"/>
    <n v="9.4600000000000009"/>
    <n v="16"/>
    <n v="1832"/>
    <n v="11"/>
    <n v="4.6504868478418836E-4"/>
    <n v="5.3248074407789565E-2"/>
    <n v="1845"/>
    <n v="0.1130584"/>
    <x v="0"/>
    <n v="9.8045223359274469E-4"/>
    <s v="Bad"/>
  </r>
  <r>
    <s v="QA"/>
    <s v="Social_MK~QA_TG"/>
    <s v="Interests"/>
    <s v="AR"/>
    <s v="Carousel"/>
    <s v="1x1"/>
    <n v="23376"/>
    <n v="33887"/>
    <n v="9.2200000000000006"/>
    <n v="69"/>
    <n v="1130"/>
    <n v="1159"/>
    <n v="2.0361790657184172E-3"/>
    <n v="3.3346120931330596E-2"/>
    <n v="1167"/>
    <n v="4.9923000000000002E-2"/>
    <x v="0"/>
    <n v="2.9517453798767971E-3"/>
    <s v="Bad"/>
  </r>
  <r>
    <s v="QA"/>
    <s v="Social_MK~QA_TG"/>
    <s v="Interests"/>
    <s v="AR"/>
    <s v="Video"/>
    <s v="1x1"/>
    <n v="11632"/>
    <n v="16424"/>
    <n v="9.06"/>
    <n v="122"/>
    <n v="4611"/>
    <n v="58"/>
    <n v="7.4281539210910861E-3"/>
    <n v="0.28074768631271313"/>
    <n v="4710"/>
    <n v="0.40491747"/>
    <x v="0"/>
    <n v="1.048830811554333E-2"/>
    <s v="Bad"/>
  </r>
  <r>
    <s v="QA"/>
    <s v="Social_MK~QA_TG"/>
    <s v="Interests"/>
    <s v="AR"/>
    <s v="Video"/>
    <s v="16x9"/>
    <n v="12884"/>
    <n v="16746"/>
    <n v="8.9600000000000009"/>
    <n v="112"/>
    <n v="4384"/>
    <n v="46"/>
    <n v="6.6881643377522991E-3"/>
    <n v="0.26179386122059001"/>
    <n v="4476"/>
    <n v="0.34740764000000002"/>
    <x v="0"/>
    <n v="8.6929524992238431E-3"/>
    <s v="Bad"/>
  </r>
  <r>
    <s v="JED"/>
    <s v="Social_MK~JED_TG"/>
    <s v="CDP"/>
    <s v="EN"/>
    <s v="Carousel"/>
    <s v="1x1"/>
    <n v="1733"/>
    <n v="4787"/>
    <n v="8.7100000000000009"/>
    <n v="8"/>
    <n v="363"/>
    <n v="422"/>
    <n v="1.6711928138709003E-3"/>
    <n v="7.5830373929392098E-2"/>
    <n v="369"/>
    <n v="0.21292556000000001"/>
    <x v="1"/>
    <n v="4.6162723600692438E-3"/>
    <s v="Bad"/>
  </r>
  <r>
    <s v="OM"/>
    <s v="Social_MK~OM_TG"/>
    <s v="Interests"/>
    <s v="AR"/>
    <s v="Video"/>
    <s v="9x16"/>
    <n v="31575"/>
    <n v="45649"/>
    <n v="8.51"/>
    <n v="20"/>
    <n v="2600"/>
    <n v="57"/>
    <n v="4.381256982628316E-4"/>
    <n v="5.6956340774168106E-2"/>
    <n v="2625"/>
    <n v="8.3135390000000003E-2"/>
    <x v="0"/>
    <n v="6.334125098970705E-4"/>
    <s v="Bad"/>
  </r>
  <r>
    <s v="OM"/>
    <s v="Social_MK~OM_TG"/>
    <s v="Interests"/>
    <s v="AR"/>
    <s v="Video"/>
    <s v="16x9"/>
    <n v="28208"/>
    <n v="44517"/>
    <n v="8.36"/>
    <n v="92"/>
    <n v="1550"/>
    <n v="36"/>
    <n v="2.066626232675158E-3"/>
    <n v="3.4818159354853204E-2"/>
    <n v="1573"/>
    <n v="5.5764319999999999E-2"/>
    <x v="0"/>
    <n v="3.2614861032331248E-3"/>
    <s v="Bad"/>
  </r>
  <r>
    <s v="KW"/>
    <s v="Social_MK~KW_TG"/>
    <s v="Interests"/>
    <s v="EN"/>
    <s v="KW"/>
    <s v="1x1"/>
    <n v="14640"/>
    <n v="21731"/>
    <n v="8.14"/>
    <n v="33"/>
    <n v="976"/>
    <n v="1014"/>
    <n v="1.5185679444112098E-3"/>
    <n v="4.4912797386222447E-2"/>
    <n v="989"/>
    <n v="6.7554639999999999E-2"/>
    <x v="0"/>
    <n v="2.2540983606557379E-3"/>
    <s v="Bad"/>
  </r>
  <r>
    <s v="JED"/>
    <s v="Social_MK~JED_TG"/>
    <s v="Interests"/>
    <s v="EN"/>
    <s v="Video"/>
    <s v="9x16"/>
    <n v="23256"/>
    <n v="27122"/>
    <n v="7.75"/>
    <n v="8"/>
    <n v="973"/>
    <n v="12"/>
    <n v="2.9496349826708945E-4"/>
    <n v="3.5874935476734753E-2"/>
    <n v="981"/>
    <n v="4.2182659999999997E-2"/>
    <x v="0"/>
    <n v="3.4399724802201581E-4"/>
    <s v="Bad"/>
  </r>
  <r>
    <s v="KW"/>
    <s v="Social_MK~KW_TG"/>
    <s v="Interests"/>
    <s v="AR"/>
    <s v="Video"/>
    <s v="9x16"/>
    <n v="18572"/>
    <n v="24638"/>
    <n v="7.71"/>
    <n v="14"/>
    <n v="1256"/>
    <n v="17"/>
    <n v="5.6822794057959254E-4"/>
    <n v="5.0978163811997726E-2"/>
    <n v="1266"/>
    <n v="6.8167130000000006E-2"/>
    <x v="0"/>
    <n v="7.5382295929356019E-4"/>
    <s v="Bad"/>
  </r>
  <r>
    <s v="JED"/>
    <s v="Social_MK~JED_TG"/>
    <s v="CDP"/>
    <s v="AR"/>
    <s v="Video"/>
    <s v="16x9"/>
    <n v="1873"/>
    <n v="4606"/>
    <n v="7.57"/>
    <n v="18"/>
    <n v="524"/>
    <n v="27"/>
    <n v="3.9079461571862786E-3"/>
    <n v="0.11376465479808945"/>
    <n v="530"/>
    <n v="0.28296850000000001"/>
    <x v="1"/>
    <n v="9.6102509343299527E-3"/>
    <s v="Bad"/>
  </r>
  <r>
    <s v="RIY"/>
    <s v="Social_MK~RIY_TG"/>
    <s v="CDP"/>
    <s v="AR"/>
    <s v="Video"/>
    <s v="9x16"/>
    <n v="2103"/>
    <n v="4494"/>
    <n v="7.48"/>
    <n v="2"/>
    <n v="344"/>
    <n v="13"/>
    <n v="4.450378282153983E-4"/>
    <n v="7.6546506453048516E-2"/>
    <n v="347"/>
    <n v="0.16500238"/>
    <x v="1"/>
    <n v="9.5102234902520212E-4"/>
    <s v="Bad"/>
  </r>
  <r>
    <s v="JED"/>
    <s v="Social_MK~JED_TG"/>
    <s v="Interests"/>
    <s v="AR"/>
    <s v="Video"/>
    <s v="9x16"/>
    <n v="23827"/>
    <n v="26209"/>
    <n v="7.42"/>
    <n v="27"/>
    <n v="2068"/>
    <n v="60"/>
    <n v="1.0301804723568239E-3"/>
    <n v="7.8904193216070811E-2"/>
    <n v="2094"/>
    <n v="8.7883489999999995E-2"/>
    <x v="0"/>
    <n v="1.1331682545011961E-3"/>
    <s v="Bad"/>
  </r>
  <r>
    <s v="OM"/>
    <s v="Social_MK~OM_TG"/>
    <s v="Interests"/>
    <s v="AR"/>
    <s v="Carousel"/>
    <s v="1x1"/>
    <n v="23520"/>
    <n v="33987"/>
    <n v="7.29"/>
    <n v="79"/>
    <n v="1089"/>
    <n v="1124"/>
    <n v="2.3244181598846619E-3"/>
    <n v="3.2041662988789833E-2"/>
    <n v="1136"/>
    <n v="4.829932E-2"/>
    <x v="0"/>
    <n v="3.3588435374149661E-3"/>
    <s v="Bad"/>
  </r>
  <r>
    <s v="OM"/>
    <s v="Social_MK~OM_TG"/>
    <s v="Interests"/>
    <s v="AR"/>
    <s v="Video"/>
    <s v="16x9"/>
    <n v="26999"/>
    <n v="38773"/>
    <n v="7.19"/>
    <n v="102"/>
    <n v="1858"/>
    <n v="61"/>
    <n v="2.6306966187811106E-3"/>
    <n v="4.7919944291130424E-2"/>
    <n v="1897"/>
    <n v="7.0261859999999995E-2"/>
    <x v="0"/>
    <n v="3.77791770065558E-3"/>
    <s v="Bad"/>
  </r>
  <r>
    <s v="JED"/>
    <s v="Social_MK~JED_TG"/>
    <s v="Interests"/>
    <s v="AR"/>
    <s v="Video"/>
    <s v="1x1"/>
    <n v="8040"/>
    <n v="9427"/>
    <n v="7.16"/>
    <n v="144"/>
    <n v="4566"/>
    <n v="21"/>
    <n v="1.527527315158587E-2"/>
    <n v="0.48435345284820197"/>
    <n v="4703"/>
    <n v="0.58495025"/>
    <x v="0"/>
    <n v="1.7910447761194031E-2"/>
    <s v="Good"/>
  </r>
  <r>
    <s v="JED"/>
    <s v="Social_MK~JED_TG"/>
    <s v="Interests"/>
    <s v="AR"/>
    <s v="Video"/>
    <s v="9x16"/>
    <n v="21113"/>
    <n v="25375"/>
    <n v="7.13"/>
    <n v="17"/>
    <n v="980"/>
    <n v="15"/>
    <n v="6.6995073891625619E-4"/>
    <n v="3.8620689655172416E-2"/>
    <n v="995"/>
    <n v="4.712736E-2"/>
    <x v="0"/>
    <n v="8.0519111447923081E-4"/>
    <s v="Bad"/>
  </r>
  <r>
    <s v="JED"/>
    <s v="Social_MK~JED_TG"/>
    <s v="Interests"/>
    <s v="EN"/>
    <s v="Video"/>
    <s v="16x9"/>
    <n v="6982"/>
    <n v="12662"/>
    <n v="7.11"/>
    <n v="55"/>
    <n v="3216"/>
    <n v="18"/>
    <n v="4.3437055757384298E-3"/>
    <n v="0.25398831148317802"/>
    <n v="3264"/>
    <n v="0.46748782999999999"/>
    <x v="0"/>
    <n v="7.877399026067029E-3"/>
    <s v="Bad"/>
  </r>
  <r>
    <s v="BH"/>
    <s v="Social_MK~BH_TG"/>
    <s v="Interests"/>
    <s v="AR"/>
    <s v="Video"/>
    <s v="16x9"/>
    <n v="8085"/>
    <n v="12771"/>
    <n v="6.9"/>
    <n v="71"/>
    <n v="3831"/>
    <n v="10"/>
    <n v="5.5594706757497456E-3"/>
    <n v="0.29997650927883485"/>
    <n v="3895"/>
    <n v="0.48175634000000001"/>
    <x v="0"/>
    <n v="8.7816944959802096E-3"/>
    <s v="Bad"/>
  </r>
  <r>
    <s v="OM"/>
    <s v="Social_MK~OM_TG"/>
    <s v="Interests"/>
    <s v="AR"/>
    <s v="Video"/>
    <s v="16x9"/>
    <n v="8622"/>
    <n v="17491"/>
    <n v="6.87"/>
    <n v="62"/>
    <n v="2980"/>
    <n v="16"/>
    <n v="3.5446801212051914E-3"/>
    <n v="0.17037333485792694"/>
    <n v="3021"/>
    <n v="0.35038274000000003"/>
    <x v="0"/>
    <n v="7.1909069821387136E-3"/>
    <s v="Bad"/>
  </r>
  <r>
    <s v="JED"/>
    <s v="Social_MK~JED_TG"/>
    <s v="CDP"/>
    <s v="AR"/>
    <s v="Video"/>
    <s v="16x9"/>
    <n v="1169"/>
    <n v="4185"/>
    <n v="6.83"/>
    <n v="23"/>
    <n v="497"/>
    <n v="14"/>
    <n v="5.4958183990442052E-3"/>
    <n v="0.11875746714456392"/>
    <n v="505"/>
    <n v="0.43199315999999999"/>
    <x v="1"/>
    <n v="1.9674935842600511E-2"/>
    <s v="Bad"/>
  </r>
  <r>
    <s v="KW"/>
    <s v="Social_MK~KW_TG"/>
    <s v="Interests"/>
    <s v="AR"/>
    <s v="Video"/>
    <s v="9x16"/>
    <n v="15360"/>
    <n v="21740"/>
    <n v="6.83"/>
    <n v="19"/>
    <n v="1729"/>
    <n v="53"/>
    <n v="8.7396504139834405E-4"/>
    <n v="7.9530818767249309E-2"/>
    <n v="1744"/>
    <n v="0.11354167"/>
    <x v="0"/>
    <n v="1.236979166666667E-3"/>
    <s v="Bad"/>
  </r>
  <r>
    <s v="BH"/>
    <s v="Social_MK~BH_TG"/>
    <s v="Interests"/>
    <s v="EN"/>
    <s v="Video"/>
    <s v="9x16"/>
    <n v="15108"/>
    <n v="23445"/>
    <n v="6.61"/>
    <n v="8"/>
    <n v="732"/>
    <n v="2"/>
    <n v="3.4122414160801877E-4"/>
    <n v="3.1222008957133719E-2"/>
    <n v="739"/>
    <n v="4.8914480000000003E-2"/>
    <x v="0"/>
    <n v="5.2952078369075987E-4"/>
    <s v="Bad"/>
  </r>
  <r>
    <s v="JED"/>
    <s v="Social_MK~JED_TG"/>
    <s v="CDP"/>
    <s v="EN"/>
    <s v="Video"/>
    <s v="16x9"/>
    <n v="1505"/>
    <n v="4041"/>
    <n v="6.4"/>
    <n v="13"/>
    <n v="378"/>
    <n v="27"/>
    <n v="3.2170254887404106E-3"/>
    <n v="9.3541202672605794E-2"/>
    <n v="381"/>
    <n v="0.25315615000000002"/>
    <x v="1"/>
    <n v="8.6378737541528243E-3"/>
    <s v="Bad"/>
  </r>
  <r>
    <s v="JED"/>
    <s v="Social_MK~JED_TG"/>
    <s v="CDP"/>
    <s v="EN"/>
    <s v="Video"/>
    <s v="1x1"/>
    <n v="742"/>
    <n v="1663"/>
    <n v="6.32"/>
    <n v="31"/>
    <n v="1041"/>
    <n v="4"/>
    <n v="1.8641010222489478E-2"/>
    <n v="0.62597714972940466"/>
    <n v="1071"/>
    <n v="1.4433962300000001"/>
    <x v="1"/>
    <n v="4.1778975741239892E-2"/>
    <s v="Good"/>
  </r>
  <r>
    <s v="KW"/>
    <s v="Social_MK~KW_TG"/>
    <s v="Interests"/>
    <s v="EN"/>
    <s v="Video"/>
    <s v="16x9"/>
    <n v="5776"/>
    <n v="10224"/>
    <n v="6.23"/>
    <n v="41"/>
    <n v="2900"/>
    <n v="12"/>
    <n v="4.0101721439749606E-3"/>
    <n v="0.28364632237871673"/>
    <n v="2934"/>
    <n v="0.50796399000000003"/>
    <x v="0"/>
    <n v="7.098337950138504E-3"/>
    <s v="Bad"/>
  </r>
  <r>
    <s v="BH"/>
    <s v="Social_MK~BH_TG"/>
    <s v="Interests"/>
    <s v="AR"/>
    <s v="Video"/>
    <s v="1x1"/>
    <n v="7194"/>
    <n v="8299"/>
    <n v="6.21"/>
    <n v="98"/>
    <n v="4540"/>
    <n v="19"/>
    <n v="1.1808651644776479E-2"/>
    <n v="0.54705386191107364"/>
    <n v="4638"/>
    <n v="0.64470391999999999"/>
    <x v="0"/>
    <n v="1.3622463163747571E-2"/>
    <s v="Bad"/>
  </r>
  <r>
    <s v="JED"/>
    <s v="Social_MK~JED_TG"/>
    <s v="CDP"/>
    <s v="EN"/>
    <s v="Video"/>
    <s v="1x1"/>
    <n v="1213"/>
    <n v="3823"/>
    <n v="5.96"/>
    <n v="19"/>
    <n v="251"/>
    <n v="7"/>
    <n v="4.9699189118493333E-3"/>
    <n v="6.5655244572325397E-2"/>
    <n v="255"/>
    <n v="0.21022258999999999"/>
    <x v="1"/>
    <n v="1.5663643858202798E-2"/>
    <s v="Bad"/>
  </r>
  <r>
    <s v="JED"/>
    <s v="Social_MK~JED_TG"/>
    <s v="Interests"/>
    <s v="AR"/>
    <s v="Video"/>
    <s v="9x16"/>
    <n v="13256"/>
    <n v="20806"/>
    <n v="5.84"/>
    <n v="8"/>
    <n v="834"/>
    <n v="14"/>
    <n v="3.8450446986446215E-4"/>
    <n v="4.008459098337018E-2"/>
    <n v="843"/>
    <n v="6.3593839999999999E-2"/>
    <x v="0"/>
    <n v="6.0350030175015089E-4"/>
    <s v="Bad"/>
  </r>
  <r>
    <s v="BH"/>
    <s v="Social_MK~BH_TG"/>
    <s v="Interests"/>
    <s v="AR"/>
    <s v="Video"/>
    <s v="9x16"/>
    <n v="12720"/>
    <n v="19993"/>
    <n v="5.6"/>
    <n v="3"/>
    <n v="1278"/>
    <n v="18"/>
    <n v="1.500525183814335E-4"/>
    <n v="6.3922372830490667E-2"/>
    <n v="1287"/>
    <n v="0.10117925"/>
    <x v="0"/>
    <n v="2.3584905660377359E-4"/>
    <s v="Bad"/>
  </r>
  <r>
    <s v="RIY"/>
    <s v="Social_MK~RIY_TG"/>
    <s v="Interests"/>
    <s v="AR"/>
    <s v="Video"/>
    <s v="1x1"/>
    <n v="4540"/>
    <n v="7944"/>
    <n v="5.45"/>
    <n v="52"/>
    <n v="1139"/>
    <n v="1007"/>
    <n v="6.545820745216516E-3"/>
    <n v="0.14337865055387713"/>
    <n v="1167"/>
    <n v="0.25704845999999998"/>
    <x v="0"/>
    <n v="1.145374449339207E-2"/>
    <s v="Bad"/>
  </r>
  <r>
    <s v="JED"/>
    <s v="Social_MK~JED_TG"/>
    <s v="CDP"/>
    <s v="AR"/>
    <s v="Carousel"/>
    <s v="1x1"/>
    <n v="1038"/>
    <n v="3032"/>
    <n v="5.38"/>
    <n v="7"/>
    <n v="227"/>
    <n v="281"/>
    <n v="2.3087071240105541E-3"/>
    <n v="7.4868073878627969E-2"/>
    <n v="232"/>
    <n v="0.22350674000000001"/>
    <x v="1"/>
    <n v="6.7437379576107898E-3"/>
    <s v="Bad"/>
  </r>
  <r>
    <s v="JED"/>
    <s v="Social_MK~JED_TG"/>
    <s v="CDP"/>
    <s v="EN"/>
    <s v="Video"/>
    <s v="9x16"/>
    <n v="1522"/>
    <n v="2951"/>
    <n v="5.27"/>
    <n v="4"/>
    <n v="208"/>
    <n v="12"/>
    <n v="1.3554727211114877E-3"/>
    <n v="7.0484581497797363E-2"/>
    <n v="210"/>
    <n v="0.13797635"/>
    <x v="1"/>
    <n v="2.6281208935611039E-3"/>
    <s v="Bad"/>
  </r>
  <r>
    <s v="JED"/>
    <s v="Social_MK~JED_TG"/>
    <s v="Interests"/>
    <s v="EN"/>
    <s v="Video"/>
    <s v="9x16"/>
    <n v="14490"/>
    <n v="17344"/>
    <n v="5.19"/>
    <n v="16"/>
    <n v="891"/>
    <n v="34"/>
    <n v="9.225092250922509E-4"/>
    <n v="5.1372232472324725E-2"/>
    <n v="906"/>
    <n v="6.2525880000000006E-2"/>
    <x v="0"/>
    <n v="1.1042097998619741E-3"/>
    <s v="Bad"/>
  </r>
  <r>
    <s v="OM"/>
    <s v="Social_MK~OM_TG"/>
    <s v="Interests"/>
    <s v="EN"/>
    <s v="Carousel"/>
    <s v="1x1"/>
    <n v="17124"/>
    <n v="23110"/>
    <n v="4.78"/>
    <n v="43"/>
    <n v="827"/>
    <n v="851"/>
    <n v="1.8606663781912591E-3"/>
    <n v="3.5785374296841192E-2"/>
    <n v="847"/>
    <n v="4.9462739999999998E-2"/>
    <x v="0"/>
    <n v="2.5110955384256011E-3"/>
    <s v="Bad"/>
  </r>
  <r>
    <s v="OM"/>
    <s v="Social_MK~OM_TG"/>
    <s v="Interests"/>
    <s v="EN"/>
    <s v="Video"/>
    <s v="1x1"/>
    <n v="8357"/>
    <n v="10694"/>
    <n v="4.76"/>
    <n v="99"/>
    <n v="2174"/>
    <n v="20"/>
    <n v="9.257527585561998E-3"/>
    <n v="0.20329156536375537"/>
    <n v="2257"/>
    <n v="0.27007299000000001"/>
    <x v="0"/>
    <n v="1.184635634797176E-2"/>
    <s v="Bad"/>
  </r>
  <r>
    <s v="JED"/>
    <s v="Social_MK~JED_TG"/>
    <s v="CDP"/>
    <s v="AR"/>
    <s v="Video"/>
    <s v="9x16"/>
    <n v="1363"/>
    <n v="2673"/>
    <n v="4.63"/>
    <n v="0"/>
    <n v="143"/>
    <n v="1"/>
    <n v="0"/>
    <n v="5.3497942386831275E-2"/>
    <n v="143"/>
    <n v="0.10491563"/>
    <x v="1"/>
    <n v="0"/>
    <s v="Bad"/>
  </r>
  <r>
    <s v="KW"/>
    <s v="Social_MK~KW_TG"/>
    <s v="Interests"/>
    <s v="AR"/>
    <s v="Video"/>
    <s v="1x1"/>
    <n v="3526"/>
    <n v="4485"/>
    <n v="4.08"/>
    <n v="53"/>
    <n v="2707"/>
    <n v="3"/>
    <n v="1.1817168338907469E-2"/>
    <n v="0.60356744704570786"/>
    <n v="2757"/>
    <n v="0.78190583999999996"/>
    <x v="0"/>
    <n v="1.5031196823596139E-2"/>
    <s v="Bad"/>
  </r>
  <r>
    <s v="BH"/>
    <s v="Social_MK~BH_TG"/>
    <s v="Interests"/>
    <s v="EN"/>
    <s v="Video"/>
    <s v="16x9"/>
    <n v="4241"/>
    <n v="6651"/>
    <n v="4.01"/>
    <n v="39"/>
    <n v="2463"/>
    <n v="8"/>
    <n v="5.8637798827244026E-3"/>
    <n v="0.37032025259359497"/>
    <n v="2496"/>
    <n v="0.58854044000000005"/>
    <x v="0"/>
    <n v="9.1959443527469941E-3"/>
    <s v="Bad"/>
  </r>
  <r>
    <s v="JED"/>
    <s v="Social_MK~JED_TG"/>
    <s v="CDP"/>
    <s v="AR"/>
    <s v="Video"/>
    <s v="9x16"/>
    <n v="965"/>
    <n v="2239"/>
    <n v="3.8"/>
    <n v="1"/>
    <n v="153"/>
    <n v="2"/>
    <n v="4.4662795891022776E-4"/>
    <n v="6.8334077713264857E-2"/>
    <n v="155"/>
    <n v="0.16062176"/>
    <x v="1"/>
    <n v="1.036269430051813E-3"/>
    <s v="Bad"/>
  </r>
  <r>
    <s v="OM"/>
    <s v="Social_MK~OM_TG"/>
    <s v="Interests"/>
    <s v="EN"/>
    <s v="Video"/>
    <s v="16x9"/>
    <n v="5610"/>
    <n v="9061"/>
    <n v="3.54"/>
    <n v="52"/>
    <n v="1659"/>
    <n v="8"/>
    <n v="5.7388809182209472E-3"/>
    <n v="0.18309237391016445"/>
    <n v="1701"/>
    <n v="0.30320856000000002"/>
    <x v="0"/>
    <n v="9.2691622103386814E-3"/>
    <s v="Bad"/>
  </r>
  <r>
    <s v="OM"/>
    <s v="Social_MK~OM_TG"/>
    <s v="Interests"/>
    <s v="AR"/>
    <s v="Video"/>
    <s v="1x1"/>
    <n v="5596"/>
    <n v="6104"/>
    <n v="3.51"/>
    <n v="96"/>
    <n v="2533"/>
    <n v="5"/>
    <n v="1.5727391874180863E-2"/>
    <n v="0.4149737876802097"/>
    <n v="2626"/>
    <n v="0.46926375999999997"/>
    <x v="0"/>
    <n v="1.7155110793423869E-2"/>
    <s v="Good"/>
  </r>
  <r>
    <s v="BH"/>
    <s v="Social_MK~BH_TG"/>
    <s v="Interests"/>
    <s v="AR"/>
    <s v="Carousel"/>
    <s v="1x1"/>
    <n v="7830"/>
    <n v="11301"/>
    <n v="3.37"/>
    <n v="21"/>
    <n v="449"/>
    <n v="483"/>
    <n v="1.8582426333952748E-3"/>
    <n v="3.9730997256879924E-2"/>
    <n v="462"/>
    <n v="5.900383E-2"/>
    <x v="0"/>
    <n v="2.6819923371647512E-3"/>
    <s v="Bad"/>
  </r>
  <r>
    <s v="JED"/>
    <s v="Social_MK~JED_TG"/>
    <s v="CDP"/>
    <s v="AR"/>
    <s v="Video"/>
    <s v="9x16"/>
    <n v="1081"/>
    <n v="1873"/>
    <n v="3.19"/>
    <n v="1"/>
    <n v="177"/>
    <n v="3"/>
    <n v="5.339028296849973E-4"/>
    <n v="9.4500800854244532E-2"/>
    <n v="178"/>
    <n v="0.16466235000000001"/>
    <x v="1"/>
    <n v="9.2506938020351531E-4"/>
    <s v="Bad"/>
  </r>
  <r>
    <s v="JED"/>
    <s v="Social_MK~JED_TG"/>
    <s v="CDP"/>
    <s v="AR"/>
    <s v="Video"/>
    <s v="1x1"/>
    <n v="415"/>
    <n v="846"/>
    <n v="2.85"/>
    <n v="13"/>
    <n v="481"/>
    <n v="3"/>
    <n v="1.5366430260047281E-2"/>
    <n v="0.5685579196217494"/>
    <n v="494"/>
    <n v="1.1903614499999999"/>
    <x v="1"/>
    <n v="3.1325301204819279E-2"/>
    <s v="Good"/>
  </r>
  <r>
    <s v="BH"/>
    <s v="Social_MK~BH_TG"/>
    <s v="Interests"/>
    <s v="AR"/>
    <s v="Video"/>
    <s v="1x1"/>
    <n v="3286"/>
    <n v="4762"/>
    <n v="1.88"/>
    <n v="8"/>
    <n v="1049"/>
    <n v="906"/>
    <n v="1.6799664006719867E-3"/>
    <n v="0.22028559428811423"/>
    <n v="1057"/>
    <n v="0.32166768000000001"/>
    <x v="0"/>
    <n v="2.4345709068776629E-3"/>
    <s v="Bad"/>
  </r>
  <r>
    <s v="OM"/>
    <s v="Social_MK~OM_TG"/>
    <s v="Interests"/>
    <s v="AR"/>
    <s v="Video"/>
    <s v="1x1"/>
    <n v="2495"/>
    <n v="3143"/>
    <n v="1.63"/>
    <n v="14"/>
    <n v="970"/>
    <n v="833"/>
    <n v="4.4543429844097994E-3"/>
    <n v="0.30862233534839323"/>
    <n v="977"/>
    <n v="0.39158316999999998"/>
    <x v="0"/>
    <n v="5.6112224448897786E-3"/>
    <s v="Bad"/>
  </r>
  <r>
    <s v="BH"/>
    <s v="Social_MK~BH_TG"/>
    <s v="Interests"/>
    <s v="EN"/>
    <s v="Video"/>
    <s v="1x1"/>
    <n v="3126"/>
    <n v="4267"/>
    <n v="1.62"/>
    <n v="11"/>
    <n v="831"/>
    <n v="704"/>
    <n v="2.5779235997187718E-3"/>
    <n v="0.19475041012420904"/>
    <n v="832"/>
    <n v="0.26615483000000001"/>
    <x v="0"/>
    <n v="3.5188739603326941E-3"/>
    <s v="Bad"/>
  </r>
  <r>
    <s v="KW"/>
    <s v="Social_MK~KW_TG"/>
    <s v="Interests"/>
    <s v="EN"/>
    <s v="Video"/>
    <s v="1x1"/>
    <n v="2114"/>
    <n v="2550"/>
    <n v="1.21"/>
    <n v="11"/>
    <n v="193"/>
    <n v="168"/>
    <n v="4.3137254901960782E-3"/>
    <n v="7.5686274509803919E-2"/>
    <n v="199"/>
    <n v="9.4134339999999997E-2"/>
    <x v="0"/>
    <n v="5.2034058656575217E-3"/>
    <s v="Bad"/>
  </r>
  <r>
    <s v="RIY"/>
    <s v="Social_MK~RIY_TG"/>
    <s v="CDP"/>
    <s v="AR"/>
    <s v="Video"/>
    <s v="1x1"/>
    <n v="333"/>
    <n v="598"/>
    <n v="1.02"/>
    <n v="3"/>
    <n v="90"/>
    <n v="75"/>
    <n v="5.016722408026756E-3"/>
    <n v="0.15050167224080269"/>
    <n v="91"/>
    <n v="0.27327327000000001"/>
    <x v="1"/>
    <n v="9.0090090090090089E-3"/>
    <s v="Bad"/>
  </r>
  <r>
    <s v="JED"/>
    <s v="Social_MK~JED_TG"/>
    <s v="CDP"/>
    <s v="AR"/>
    <s v="Video"/>
    <s v="1x1"/>
    <n v="255"/>
    <n v="404"/>
    <n v="0.92"/>
    <n v="1"/>
    <n v="87"/>
    <n v="74"/>
    <n v="2.4752475247524753E-3"/>
    <n v="0.21534653465346534"/>
    <n v="88"/>
    <n v="0.34509803999999999"/>
    <x v="1"/>
    <n v="3.9215686274509803E-3"/>
    <s v="Bad"/>
  </r>
  <r>
    <s v="OM"/>
    <s v="Social_MK~OM_TG"/>
    <s v="Interests"/>
    <s v="EN"/>
    <s v="Carousel"/>
    <s v="9x16"/>
    <n v="3337"/>
    <n v="4659"/>
    <n v="0.89"/>
    <n v="0"/>
    <n v="37"/>
    <n v="8"/>
    <n v="0"/>
    <n v="7.9416183730414251E-3"/>
    <n v="37"/>
    <n v="1.10878E-2"/>
    <x v="0"/>
    <n v="0"/>
    <s v="Bad"/>
  </r>
  <r>
    <s v="JED"/>
    <s v="Social_MK~JED_TG"/>
    <s v="Interests"/>
    <s v="AR"/>
    <s v="Video"/>
    <s v="1x1"/>
    <n v="776"/>
    <n v="1281"/>
    <n v="0.62"/>
    <n v="3"/>
    <n v="185"/>
    <n v="175"/>
    <n v="2.34192037470726E-3"/>
    <n v="0.14441842310694769"/>
    <n v="186"/>
    <n v="0.23969072"/>
    <x v="0"/>
    <n v="3.8659793814432991E-3"/>
    <s v="Bad"/>
  </r>
  <r>
    <s v="JED"/>
    <s v="Social_MK~JED_TG"/>
    <s v="CDP"/>
    <s v="EN"/>
    <s v="Video"/>
    <s v="1x1"/>
    <n v="134"/>
    <n v="172"/>
    <n v="0.51"/>
    <n v="1"/>
    <n v="53"/>
    <n v="47"/>
    <n v="5.8139534883720929E-3"/>
    <n v="0.30813953488372092"/>
    <n v="54"/>
    <n v="0.40298507"/>
    <x v="1"/>
    <n v="7.462686567164179E-3"/>
    <s v="Bad"/>
  </r>
  <r>
    <s v="JED"/>
    <s v="Social_MK~JED_TG"/>
    <s v="Interests"/>
    <s v="EN"/>
    <s v="Video"/>
    <s v="1x1"/>
    <n v="926"/>
    <n v="1237"/>
    <n v="0.5"/>
    <n v="7"/>
    <n v="140"/>
    <n v="115"/>
    <n v="5.6588520614389648E-3"/>
    <n v="0.11317704122877931"/>
    <n v="143"/>
    <n v="0.15442765"/>
    <x v="0"/>
    <n v="7.5593952483801298E-3"/>
    <s v="Bad"/>
  </r>
  <r>
    <s v="QA"/>
    <s v="Social_MK~QA_TG"/>
    <s v="Interests"/>
    <s v="AR"/>
    <s v="Video"/>
    <s v="1x1"/>
    <n v="1032"/>
    <n v="1454"/>
    <n v="0.5"/>
    <n v="5"/>
    <n v="101"/>
    <n v="86"/>
    <n v="3.4387895460797797E-3"/>
    <n v="6.9463548830811558E-2"/>
    <n v="104"/>
    <n v="0.10077519"/>
    <x v="0"/>
    <n v="4.8449612403100766E-3"/>
    <s v="Bad"/>
  </r>
  <r>
    <s v="OM"/>
    <s v="Social_MK~OM_TG"/>
    <s v="Interests"/>
    <s v="EN"/>
    <s v="Video"/>
    <s v="1x1"/>
    <n v="969"/>
    <n v="1115"/>
    <n v="0.42"/>
    <n v="3"/>
    <n v="232"/>
    <n v="194"/>
    <n v="2.6905829596412557E-3"/>
    <n v="0.20807174887892377"/>
    <n v="233"/>
    <n v="0.24045407999999999"/>
    <x v="0"/>
    <n v="3.095975232198143E-3"/>
    <s v="Bad"/>
  </r>
  <r>
    <s v="QA"/>
    <s v="Social_MK~QA_TG"/>
    <s v="Interests"/>
    <s v="EN"/>
    <s v="Video"/>
    <s v="1x1"/>
    <n v="421"/>
    <n v="564"/>
    <n v="0.21"/>
    <n v="2"/>
    <n v="78"/>
    <n v="68"/>
    <n v="3.5460992907801418E-3"/>
    <n v="0.13829787234042554"/>
    <n v="79"/>
    <n v="0.18764845999999999"/>
    <x v="0"/>
    <n v="4.7505938242280287E-3"/>
    <s v="Bad"/>
  </r>
  <r>
    <s v="KW"/>
    <s v="Social_MK~KW_TG"/>
    <s v="Interests"/>
    <s v="AR"/>
    <s v="Carousel"/>
    <s v="9x16"/>
    <n v="332"/>
    <n v="546"/>
    <n v="0.15"/>
    <n v="0"/>
    <n v="6"/>
    <n v="1"/>
    <n v="0"/>
    <n v="1.098901098901099E-2"/>
    <n v="6"/>
    <n v="1.8072290000000001E-2"/>
    <x v="0"/>
    <n v="0"/>
    <s v="Bad"/>
  </r>
  <r>
    <s v="KW"/>
    <s v="Social_MK~KW_TG"/>
    <s v="Interests"/>
    <s v="AR"/>
    <s v="Video"/>
    <s v="1x1"/>
    <n v="254"/>
    <n v="369"/>
    <n v="0.14000000000000001"/>
    <n v="1"/>
    <n v="42"/>
    <n v="43"/>
    <n v="2.7100271002710027E-3"/>
    <n v="0.11382113821138211"/>
    <n v="43"/>
    <n v="0.16929134000000001"/>
    <x v="0"/>
    <n v="3.937007874015748E-3"/>
    <s v="Bad"/>
  </r>
  <r>
    <s v="KW"/>
    <s v="Social_MK~KW_TG"/>
    <s v="Interests"/>
    <s v="EN"/>
    <s v="Carousel"/>
    <s v="9x16"/>
    <n v="271"/>
    <n v="413"/>
    <n v="0.11"/>
    <n v="0"/>
    <n v="2"/>
    <n v="0"/>
    <n v="0"/>
    <n v="4.8426150121065378E-3"/>
    <n v="2"/>
    <n v="7.3800699999999999E-3"/>
    <x v="0"/>
    <n v="0"/>
    <s v="Bad"/>
  </r>
  <r>
    <s v="BH"/>
    <s v="Social_MK~BH_TG"/>
    <s v="Interests"/>
    <s v="EN"/>
    <s v="Video"/>
    <s v="9x16"/>
    <n v="48"/>
    <n v="57"/>
    <n v="0.02"/>
    <n v="0"/>
    <n v="12"/>
    <n v="0"/>
    <n v="0"/>
    <n v="0.21052631578947367"/>
    <n v="12"/>
    <n v="0.25"/>
    <x v="0"/>
    <n v="0"/>
    <s v="Bad"/>
  </r>
  <r>
    <s v="OM"/>
    <s v="Social_MK~OM_TG"/>
    <s v="Interests"/>
    <s v="EN"/>
    <s v="Video"/>
    <s v="9x16"/>
    <n v="42"/>
    <n v="57"/>
    <n v="0.02"/>
    <n v="0"/>
    <n v="31"/>
    <n v="0"/>
    <n v="0"/>
    <n v="0.54385964912280704"/>
    <n v="31"/>
    <n v="0.73809524000000004"/>
    <x v="0"/>
    <n v="0"/>
    <s v="Bad"/>
  </r>
  <r>
    <s v="OM"/>
    <s v="Social_MK~OM_TG"/>
    <s v="Interests"/>
    <s v="AR"/>
    <s v="Video"/>
    <s v="9x16"/>
    <n v="78"/>
    <n v="90"/>
    <n v="0.01"/>
    <n v="0"/>
    <n v="28"/>
    <n v="1"/>
    <n v="0"/>
    <n v="0.31111111111111112"/>
    <n v="28"/>
    <n v="0.35897435999999999"/>
    <x v="0"/>
    <n v="0"/>
    <s v="Bad"/>
  </r>
  <r>
    <s v="OM"/>
    <s v="Social_MK~OM_TG"/>
    <s v="Interests"/>
    <s v="AR"/>
    <s v="Video"/>
    <s v="9x16"/>
    <n v="64"/>
    <n v="78"/>
    <n v="0.01"/>
    <n v="0"/>
    <n v="27"/>
    <n v="0"/>
    <n v="0"/>
    <n v="0.34615384615384615"/>
    <n v="27"/>
    <n v="0.421875"/>
    <x v="0"/>
    <n v="0"/>
    <s v="Bad"/>
  </r>
  <r>
    <s v="OM"/>
    <s v="Social_MK~OM_TG"/>
    <s v="Interests"/>
    <s v="AR"/>
    <s v="Video"/>
    <s v="9x16"/>
    <n v="62"/>
    <n v="73"/>
    <n v="0.01"/>
    <n v="0"/>
    <n v="20"/>
    <n v="0"/>
    <n v="0"/>
    <n v="0.27397260273972601"/>
    <n v="20"/>
    <n v="0.32258065000000002"/>
    <x v="0"/>
    <n v="0"/>
    <s v="Bad"/>
  </r>
  <r>
    <s v="BH"/>
    <s v="Social_MK~BH_TG"/>
    <s v="Interests"/>
    <s v="AR"/>
    <s v="Carousel"/>
    <s v="9x16"/>
    <n v="2"/>
    <n v="2"/>
    <n v="0"/>
    <n v="0"/>
    <n v="0"/>
    <n v="0"/>
    <n v="0"/>
    <n v="0"/>
    <n v="0"/>
    <n v="0"/>
    <x v="0"/>
    <n v="0"/>
    <s v="Bad"/>
  </r>
  <r>
    <s v="BH"/>
    <s v="Social_MK~BH_TG"/>
    <s v="Interests"/>
    <s v="AR"/>
    <s v="Video"/>
    <s v="9x16"/>
    <n v="39"/>
    <n v="46"/>
    <n v="0"/>
    <n v="0"/>
    <n v="7"/>
    <n v="0"/>
    <n v="0"/>
    <n v="0.15217391304347827"/>
    <n v="7"/>
    <n v="0.17948718"/>
    <x v="0"/>
    <n v="0"/>
    <s v="Bad"/>
  </r>
  <r>
    <s v="BH"/>
    <s v="Social_MK~BH_TG"/>
    <s v="Interests"/>
    <s v="AR"/>
    <s v="Video"/>
    <s v="9x16"/>
    <n v="39"/>
    <n v="50"/>
    <n v="0"/>
    <n v="0"/>
    <n v="9"/>
    <n v="0"/>
    <n v="0"/>
    <n v="0.18"/>
    <n v="9"/>
    <n v="0.23076922999999999"/>
    <x v="0"/>
    <n v="0"/>
    <s v="Bad"/>
  </r>
  <r>
    <s v="BH"/>
    <s v="Social_MK~BH_TG"/>
    <s v="Interests"/>
    <s v="EN"/>
    <s v="Video"/>
    <s v="9x16"/>
    <n v="20"/>
    <n v="24"/>
    <n v="0"/>
    <n v="0"/>
    <n v="8"/>
    <n v="0"/>
    <n v="0"/>
    <n v="0.33333333333333331"/>
    <n v="8"/>
    <n v="0.4"/>
    <x v="0"/>
    <n v="0"/>
    <s v="Bad"/>
  </r>
  <r>
    <s v="BH"/>
    <s v="Social_MK~BH_TG"/>
    <s v="Interests"/>
    <s v="EN"/>
    <s v="Video"/>
    <s v="9x16"/>
    <n v="19"/>
    <n v="21"/>
    <n v="0"/>
    <n v="0"/>
    <n v="2"/>
    <n v="0"/>
    <n v="0"/>
    <n v="9.5238095238095233E-2"/>
    <n v="2"/>
    <n v="0.10526315999999999"/>
    <x v="0"/>
    <n v="0"/>
    <s v="Bad"/>
  </r>
  <r>
    <s v="JED"/>
    <s v="Social_MK~JED_TG"/>
    <s v="CDP"/>
    <s v="AR"/>
    <s v="Video"/>
    <s v="9x16"/>
    <n v="1"/>
    <n v="1"/>
    <n v="0"/>
    <n v="0"/>
    <n v="0"/>
    <n v="0"/>
    <n v="0"/>
    <n v="0"/>
    <n v="0"/>
    <n v="0"/>
    <x v="1"/>
    <n v="0"/>
    <s v="Bad"/>
  </r>
  <r>
    <s v="JED"/>
    <s v="Social_MK~JED_TG"/>
    <s v="CDP"/>
    <s v="AR"/>
    <s v="Video"/>
    <s v="9x16"/>
    <n v="2"/>
    <n v="2"/>
    <n v="0"/>
    <n v="0"/>
    <n v="0"/>
    <n v="0"/>
    <n v="0"/>
    <n v="0"/>
    <n v="0"/>
    <n v="0"/>
    <x v="1"/>
    <n v="0"/>
    <s v="Bad"/>
  </r>
  <r>
    <s v="JED"/>
    <s v="Social_MK~JED_TG"/>
    <s v="CDP"/>
    <s v="EN"/>
    <s v="Video"/>
    <s v="9x16"/>
    <n v="1"/>
    <n v="2"/>
    <n v="0"/>
    <n v="0"/>
    <n v="0"/>
    <n v="0"/>
    <n v="0"/>
    <n v="0"/>
    <n v="0"/>
    <n v="0"/>
    <x v="1"/>
    <n v="0"/>
    <s v="Bad"/>
  </r>
  <r>
    <s v="JED"/>
    <s v="Social_MK~JED_TG"/>
    <s v="CDP"/>
    <s v="EN"/>
    <s v="Video"/>
    <s v="9x16"/>
    <n v="4"/>
    <n v="7"/>
    <n v="0"/>
    <n v="0"/>
    <n v="0"/>
    <n v="0"/>
    <n v="0"/>
    <n v="0"/>
    <n v="0"/>
    <n v="0"/>
    <x v="1"/>
    <n v="0"/>
    <s v="Bad"/>
  </r>
  <r>
    <s v="JED"/>
    <s v="Social_MK~JED_TG"/>
    <s v="CDP"/>
    <s v="EN"/>
    <s v="Video"/>
    <s v="9x16"/>
    <n v="2"/>
    <n v="4"/>
    <n v="0"/>
    <n v="0"/>
    <n v="0"/>
    <n v="0"/>
    <n v="0"/>
    <n v="0"/>
    <n v="0"/>
    <n v="0"/>
    <x v="1"/>
    <n v="0"/>
    <s v="Bad"/>
  </r>
  <r>
    <s v="JED"/>
    <s v="Social_MK~JED_TG"/>
    <s v="Interests"/>
    <s v="AR"/>
    <s v="Video"/>
    <s v="9x16"/>
    <n v="1"/>
    <n v="1"/>
    <n v="0"/>
    <n v="0"/>
    <n v="1"/>
    <n v="0"/>
    <n v="0"/>
    <n v="1"/>
    <n v="1"/>
    <n v="1"/>
    <x v="0"/>
    <n v="0"/>
    <s v="Bad"/>
  </r>
  <r>
    <s v="JED"/>
    <s v="Social_MK~JED_TG"/>
    <s v="Interests"/>
    <s v="AR"/>
    <s v="Video"/>
    <s v="9x16"/>
    <n v="4"/>
    <n v="4"/>
    <n v="0"/>
    <n v="0"/>
    <n v="1"/>
    <n v="0"/>
    <n v="0"/>
    <n v="0.25"/>
    <n v="1"/>
    <n v="0.25"/>
    <x v="0"/>
    <n v="0"/>
    <s v="Bad"/>
  </r>
  <r>
    <s v="JED"/>
    <s v="Social_MK~JED_TG"/>
    <s v="Interests"/>
    <s v="AR"/>
    <s v="Video"/>
    <s v="9x16"/>
    <n v="2"/>
    <n v="2"/>
    <n v="0"/>
    <n v="0"/>
    <n v="0"/>
    <n v="0"/>
    <n v="0"/>
    <n v="0"/>
    <n v="0"/>
    <n v="0"/>
    <x v="0"/>
    <n v="0"/>
    <s v="Bad"/>
  </r>
  <r>
    <s v="JED"/>
    <s v="Social_MK~JED_TG"/>
    <s v="Interests"/>
    <s v="EN"/>
    <s v="Video"/>
    <s v="9x16"/>
    <n v="1"/>
    <n v="1"/>
    <n v="0"/>
    <n v="0"/>
    <n v="0"/>
    <n v="0"/>
    <n v="0"/>
    <n v="0"/>
    <n v="0"/>
    <n v="0"/>
    <x v="0"/>
    <n v="0"/>
    <s v="Bad"/>
  </r>
  <r>
    <s v="KW"/>
    <s v="Social_MK~KW_TG"/>
    <s v="Interests"/>
    <s v="AR"/>
    <s v="Video"/>
    <s v="9x16"/>
    <n v="2"/>
    <n v="2"/>
    <n v="0"/>
    <n v="0"/>
    <n v="0"/>
    <n v="0"/>
    <n v="0"/>
    <n v="0"/>
    <n v="0"/>
    <n v="0"/>
    <x v="0"/>
    <n v="0"/>
    <s v="Bad"/>
  </r>
  <r>
    <s v="KW"/>
    <s v="Social_MK~KW_TG"/>
    <s v="Interests"/>
    <s v="AR"/>
    <s v="Video"/>
    <s v="9x16"/>
    <n v="3"/>
    <n v="3"/>
    <n v="0"/>
    <n v="0"/>
    <n v="1"/>
    <n v="0"/>
    <n v="0"/>
    <n v="0.33333333333333331"/>
    <n v="1"/>
    <n v="0.33333332999999998"/>
    <x v="0"/>
    <n v="0"/>
    <s v="Bad"/>
  </r>
  <r>
    <s v="KW"/>
    <s v="Social_MK~KW_TG"/>
    <s v="Interests"/>
    <s v="AR"/>
    <s v="Video"/>
    <s v="9x16"/>
    <n v="2"/>
    <n v="2"/>
    <n v="0"/>
    <n v="0"/>
    <n v="0"/>
    <n v="0"/>
    <n v="0"/>
    <n v="0"/>
    <n v="0"/>
    <n v="0"/>
    <x v="0"/>
    <n v="0"/>
    <s v="Bad"/>
  </r>
  <r>
    <s v="KW"/>
    <s v="Social_MK~KW_TG"/>
    <s v="Interests"/>
    <s v="EN"/>
    <s v="Video"/>
    <s v="9x16"/>
    <n v="1"/>
    <n v="1"/>
    <n v="0"/>
    <n v="0"/>
    <n v="1"/>
    <n v="0"/>
    <n v="0"/>
    <n v="1"/>
    <n v="1"/>
    <n v="1"/>
    <x v="0"/>
    <n v="0"/>
    <s v="Bad"/>
  </r>
  <r>
    <s v="KW"/>
    <s v="Social_MK~KW_TG"/>
    <s v="Interests"/>
    <s v="EN"/>
    <s v="Video"/>
    <s v="9x16"/>
    <n v="3"/>
    <n v="3"/>
    <n v="0"/>
    <n v="0"/>
    <n v="0"/>
    <n v="0"/>
    <n v="0"/>
    <n v="0"/>
    <n v="0"/>
    <n v="0"/>
    <x v="0"/>
    <n v="0"/>
    <s v="Bad"/>
  </r>
  <r>
    <s v="KW"/>
    <s v="Social_MK~KW_TG"/>
    <s v="Interests"/>
    <s v="EN"/>
    <s v="Video"/>
    <s v="9x16"/>
    <n v="1"/>
    <n v="1"/>
    <n v="0"/>
    <n v="0"/>
    <n v="1"/>
    <n v="0"/>
    <n v="0"/>
    <n v="1"/>
    <n v="1"/>
    <n v="1"/>
    <x v="0"/>
    <n v="0"/>
    <s v="Bad"/>
  </r>
  <r>
    <s v="OM"/>
    <s v="Social_MK~OM_TG"/>
    <s v="Interests"/>
    <s v="EN"/>
    <s v="Video"/>
    <s v="9x16"/>
    <n v="34"/>
    <n v="42"/>
    <n v="0"/>
    <n v="0"/>
    <n v="17"/>
    <n v="0"/>
    <n v="0"/>
    <n v="0.40476190476190477"/>
    <n v="17"/>
    <n v="0.5"/>
    <x v="0"/>
    <n v="0"/>
    <s v="Bad"/>
  </r>
  <r>
    <s v="OM"/>
    <s v="Social_MK~OM_TG"/>
    <s v="Interests"/>
    <s v="EN"/>
    <s v="Video"/>
    <s v="9x16"/>
    <n v="45"/>
    <n v="55"/>
    <n v="0"/>
    <n v="0"/>
    <n v="13"/>
    <n v="0"/>
    <n v="0"/>
    <n v="0.23636363636363636"/>
    <n v="13"/>
    <n v="0.28888889000000001"/>
    <x v="0"/>
    <n v="0"/>
    <s v="Bad"/>
  </r>
  <r>
    <s v="QA"/>
    <s v="Social_MK~QA_TG"/>
    <s v="Interests"/>
    <s v="AR"/>
    <s v="Video"/>
    <s v="9x16"/>
    <n v="1"/>
    <n v="1"/>
    <n v="0"/>
    <n v="0"/>
    <n v="0"/>
    <n v="0"/>
    <n v="0"/>
    <n v="0"/>
    <n v="0"/>
    <n v="0"/>
    <x v="0"/>
    <n v="0"/>
    <s v="Bad"/>
  </r>
  <r>
    <s v="QA"/>
    <s v="Social_MK~QA_TG"/>
    <s v="Interests"/>
    <s v="AR"/>
    <s v="Video"/>
    <s v="9x16"/>
    <n v="1"/>
    <n v="1"/>
    <n v="0"/>
    <n v="0"/>
    <n v="0"/>
    <n v="0"/>
    <n v="0"/>
    <n v="0"/>
    <n v="0"/>
    <n v="0"/>
    <x v="0"/>
    <n v="0"/>
    <s v="Bad"/>
  </r>
  <r>
    <s v="QA"/>
    <s v="Social_MK~QA_TG"/>
    <s v="Interests"/>
    <s v="EN"/>
    <s v="Video"/>
    <s v="9x16"/>
    <n v="7"/>
    <n v="7"/>
    <n v="0"/>
    <n v="0"/>
    <n v="0"/>
    <n v="0"/>
    <n v="0"/>
    <n v="0"/>
    <n v="0"/>
    <n v="0"/>
    <x v="0"/>
    <n v="0"/>
    <s v="Bad"/>
  </r>
  <r>
    <s v="QA"/>
    <s v="Social_MK~QA_TG"/>
    <s v="Interests"/>
    <s v="EN"/>
    <s v="Video"/>
    <s v="9x16"/>
    <n v="3"/>
    <n v="3"/>
    <n v="0"/>
    <n v="0"/>
    <n v="0"/>
    <n v="0"/>
    <n v="0"/>
    <n v="0"/>
    <n v="0"/>
    <n v="0"/>
    <x v="0"/>
    <n v="0"/>
    <s v="Bad"/>
  </r>
  <r>
    <s v="QA"/>
    <s v="Social_MK~QA_TG"/>
    <s v="Interests"/>
    <s v="EN"/>
    <s v="Video"/>
    <s v="9x16"/>
    <n v="2"/>
    <n v="2"/>
    <n v="0"/>
    <n v="0"/>
    <n v="0"/>
    <n v="0"/>
    <n v="0"/>
    <n v="0"/>
    <n v="0"/>
    <n v="0"/>
    <x v="0"/>
    <n v="0"/>
    <s v="Bad"/>
  </r>
  <r>
    <s v="RIY"/>
    <s v="Social_MK~RIY_TG"/>
    <s v="CDP"/>
    <s v="AR"/>
    <s v="Video"/>
    <s v="9x16"/>
    <n v="1"/>
    <n v="1"/>
    <n v="0"/>
    <n v="0"/>
    <n v="0"/>
    <n v="0"/>
    <n v="0"/>
    <n v="0"/>
    <n v="0"/>
    <n v="0"/>
    <x v="1"/>
    <n v="0"/>
    <s v="Bad"/>
  </r>
  <r>
    <s v="RIY"/>
    <s v="Social_MK~RIY_TG"/>
    <s v="Interests"/>
    <s v="AR"/>
    <s v="Video"/>
    <s v="9x16"/>
    <n v="1"/>
    <n v="1"/>
    <n v="0"/>
    <n v="0"/>
    <n v="0"/>
    <n v="0"/>
    <n v="0"/>
    <n v="0"/>
    <n v="0"/>
    <n v="0"/>
    <x v="0"/>
    <n v="0"/>
    <s v="Bad"/>
  </r>
  <r>
    <s v="RIY"/>
    <s v="Social_MK~RIY_TG"/>
    <s v="Interests"/>
    <s v="AR"/>
    <s v="Video"/>
    <s v="9x16"/>
    <n v="2"/>
    <n v="2"/>
    <n v="0"/>
    <n v="0"/>
    <n v="0"/>
    <n v="0"/>
    <n v="0"/>
    <n v="0"/>
    <n v="0"/>
    <n v="0"/>
    <x v="0"/>
    <n v="0"/>
    <s v="Bad"/>
  </r>
  <r>
    <s v="RIY"/>
    <s v="Social_MK~RIY_TG"/>
    <s v="Interests"/>
    <s v="AR"/>
    <s v="Video"/>
    <s v="9x16"/>
    <n v="3"/>
    <n v="3"/>
    <n v="0"/>
    <n v="0"/>
    <n v="0"/>
    <n v="0"/>
    <n v="0"/>
    <n v="0"/>
    <n v="0"/>
    <n v="0"/>
    <x v="0"/>
    <n v="0"/>
    <s v="Bad"/>
  </r>
  <r>
    <s v="AE"/>
    <s v="Social_MK~AE_TG"/>
    <s v="Interests"/>
    <s v="AR"/>
    <s v="Video"/>
    <s v="16x9"/>
    <n v="1130502"/>
    <n v="4425926"/>
    <n v="3456.8"/>
    <n v="20100"/>
    <n v="784825"/>
    <n v="9827"/>
    <n v="4.5414225181351882E-3"/>
    <n v="0.17732447401967408"/>
    <n v="785957"/>
    <n v="0.17758024"/>
    <x v="0"/>
    <n v="1.777971202173902E-2"/>
    <s v="Bad"/>
  </r>
  <r>
    <s v="AE"/>
    <s v="Social_MK~AE_TG"/>
    <s v="Interests"/>
    <s v="AR"/>
    <s v="Video"/>
    <s v="16x9"/>
    <n v="1314825"/>
    <n v="4652907"/>
    <n v="3220.18"/>
    <n v="21330"/>
    <n v="646948"/>
    <n v="16916"/>
    <n v="4.5842308904949104E-3"/>
    <n v="0.13904167867528838"/>
    <n v="659371"/>
    <n v="0.14171162000000001"/>
    <x v="0"/>
    <n v="1.6222691232673551E-2"/>
    <s v="Bad"/>
  </r>
  <r>
    <s v="AE"/>
    <s v="Social_MK~AE_TG"/>
    <s v="Interests"/>
    <s v="AR"/>
    <s v="Video"/>
    <s v="16x9"/>
    <n v="722421"/>
    <n v="2811919"/>
    <n v="1284.27"/>
    <n v="11713"/>
    <n v="174581"/>
    <n v="6051"/>
    <n v="4.1654827183855584E-3"/>
    <n v="6.2086070046825675E-2"/>
    <n v="175728"/>
    <n v="6.2493979999999998E-2"/>
    <x v="0"/>
    <n v="1.621353753559213E-2"/>
    <s v="Bad"/>
  </r>
  <r>
    <s v="AE"/>
    <s v="Social_MK~AE_TG"/>
    <s v="Interests"/>
    <s v="AR"/>
    <s v="Video"/>
    <s v="1x1"/>
    <n v="671730"/>
    <n v="2522528"/>
    <n v="1178.72"/>
    <n v="10794"/>
    <n v="103885"/>
    <n v="4540"/>
    <n v="4.2790407083687478E-3"/>
    <n v="4.1182892717147243E-2"/>
    <n v="104231"/>
    <n v="4.1320059999999999E-2"/>
    <x v="0"/>
    <n v="1.6068956277075611E-2"/>
    <s v="Bad"/>
  </r>
  <r>
    <s v="AE"/>
    <s v="Social_MK~AE_TG"/>
    <s v="Interests"/>
    <s v="EN"/>
    <s v="Static"/>
    <s v="1x1"/>
    <n v="878461"/>
    <n v="2684060"/>
    <n v="1042.46"/>
    <n v="7019"/>
    <n v="0"/>
    <n v="0"/>
    <n v="2.6150682175510235E-3"/>
    <n v="0"/>
    <n v="4587"/>
    <n v="1.7089799999999999E-3"/>
    <x v="0"/>
    <n v="7.9901099764246794E-3"/>
    <s v="Bad"/>
  </r>
  <r>
    <s v="AE"/>
    <s v="Social_MK~AE_TG"/>
    <s v="CDP"/>
    <s v="AR"/>
    <s v="Video"/>
    <s v="16x9"/>
    <n v="277058"/>
    <n v="802794"/>
    <n v="735.77"/>
    <n v="3171"/>
    <n v="165404"/>
    <n v="2028"/>
    <n v="3.9499547829206496E-3"/>
    <n v="0.20603542129114069"/>
    <n v="165518"/>
    <n v="0.20617742999999999"/>
    <x v="1"/>
    <n v="1.144525694980834E-2"/>
    <s v="Bad"/>
  </r>
  <r>
    <s v="AE"/>
    <s v="Social_MK~AE_TG"/>
    <s v="Interests"/>
    <s v="AR"/>
    <s v="Static"/>
    <s v="1x1"/>
    <n v="564092"/>
    <n v="1547845"/>
    <n v="637.48"/>
    <n v="4359"/>
    <n v="0"/>
    <n v="0"/>
    <n v="2.8161734540603227E-3"/>
    <n v="0"/>
    <n v="2913"/>
    <n v="1.88197E-3"/>
    <x v="0"/>
    <n v="7.7274628961233266E-3"/>
    <s v="Bad"/>
  </r>
  <r>
    <s v="AE"/>
    <s v="Social_MK~AE_TG"/>
    <s v="Interests"/>
    <s v="AR"/>
    <s v="Video"/>
    <s v="1x1"/>
    <n v="372537"/>
    <n v="976049"/>
    <n v="458.83"/>
    <n v="3650"/>
    <n v="35111"/>
    <n v="1271"/>
    <n v="3.7395663537383881E-3"/>
    <n v="3.5972579245509194E-2"/>
    <n v="35410"/>
    <n v="3.6278919999999999E-2"/>
    <x v="0"/>
    <n v="9.7976845252954747E-3"/>
    <s v="Bad"/>
  </r>
  <r>
    <s v="AE"/>
    <s v="Social_MK~AE_TG"/>
    <s v="Interests"/>
    <s v="AR"/>
    <s v="Static"/>
    <s v="1x1"/>
    <n v="274687"/>
    <n v="590534"/>
    <n v="279.02999999999997"/>
    <n v="1373"/>
    <n v="0"/>
    <n v="0"/>
    <n v="2.3250143090829656E-3"/>
    <n v="0"/>
    <n v="899"/>
    <n v="1.52235E-3"/>
    <x v="0"/>
    <n v="4.9984163793699741E-3"/>
    <s v="Bad"/>
  </r>
  <r>
    <s v="AE"/>
    <s v="Social_MK~AE_TG"/>
    <s v="CDP"/>
    <s v="EN"/>
    <s v="Static"/>
    <s v="1x1"/>
    <n v="180510"/>
    <n v="449694"/>
    <n v="195.9"/>
    <n v="1077"/>
    <n v="0"/>
    <n v="0"/>
    <n v="2.3949619074303862E-3"/>
    <n v="0"/>
    <n v="671"/>
    <n v="1.4921299999999999E-3"/>
    <x v="1"/>
    <n v="5.9664284527173013E-3"/>
    <s v="Bad"/>
  </r>
  <r>
    <s v="AE"/>
    <s v="Social_MK~AE_TG"/>
    <s v="Interests"/>
    <s v="AR"/>
    <s v="Video"/>
    <s v="16x9"/>
    <n v="155968"/>
    <n v="412121"/>
    <n v="190.97"/>
    <n v="1420"/>
    <n v="15250"/>
    <n v="482"/>
    <n v="3.4455900087595635E-3"/>
    <n v="3.7003695516607989E-2"/>
    <n v="15440"/>
    <n v="3.7464730000000002E-2"/>
    <x v="0"/>
    <n v="9.1044316782929839E-3"/>
    <s v="Bad"/>
  </r>
  <r>
    <s v="AE"/>
    <s v="Social_MK~AE_TG"/>
    <s v="Interests"/>
    <s v="EN"/>
    <s v="Video"/>
    <s v="1x1"/>
    <n v="41647"/>
    <n v="61132"/>
    <n v="117.06"/>
    <n v="356"/>
    <n v="47586"/>
    <n v="83"/>
    <n v="5.8234639795851596E-3"/>
    <n v="0.7784139239678074"/>
    <n v="47914"/>
    <n v="0.78377936000000004"/>
    <x v="0"/>
    <n v="8.5480346723653556E-3"/>
    <s v="Bad"/>
  </r>
  <r>
    <s v="AE"/>
    <s v="Social_MK~AE_TG"/>
    <s v="Interests"/>
    <s v="EN"/>
    <s v="Video"/>
    <s v="1x1"/>
    <n v="142810"/>
    <n v="259216"/>
    <n v="113.35"/>
    <n v="915"/>
    <n v="7164"/>
    <n v="236"/>
    <n v="3.5298746990926485E-3"/>
    <n v="2.7637182889945065E-2"/>
    <n v="7616"/>
    <n v="2.9380900000000001E-2"/>
    <x v="0"/>
    <n v="6.4071143477347527E-3"/>
    <s v="Bad"/>
  </r>
  <r>
    <s v="AE"/>
    <s v="Social_MK~AE_TG"/>
    <s v="CDP"/>
    <s v="EN"/>
    <s v="Video"/>
    <s v="16x9"/>
    <n v="85118"/>
    <n v="232315"/>
    <n v="101.08"/>
    <n v="891"/>
    <n v="11528"/>
    <n v="580"/>
    <n v="3.8353098164130598E-3"/>
    <n v="4.9622280093838109E-2"/>
    <n v="11599"/>
    <n v="4.9927899999999997E-2"/>
    <x v="1"/>
    <n v="1.046782114241406E-2"/>
    <s v="Bad"/>
  </r>
  <r>
    <s v="AE"/>
    <s v="Social_MK~AE_TG"/>
    <s v="Interests"/>
    <s v="AR"/>
    <s v="Video"/>
    <s v="16x9"/>
    <n v="123660"/>
    <n v="219372"/>
    <n v="100.47"/>
    <n v="868"/>
    <n v="12310"/>
    <n v="264"/>
    <n v="3.9567492660868295E-3"/>
    <n v="5.6114727494848936E-2"/>
    <n v="12352"/>
    <n v="5.6306179999999997E-2"/>
    <x v="0"/>
    <n v="7.0192463205563643E-3"/>
    <s v="Bad"/>
  </r>
  <r>
    <s v="AE"/>
    <s v="Social_MK~AE_TG"/>
    <s v="Interests"/>
    <s v="EN"/>
    <s v="Video"/>
    <s v="1x1"/>
    <n v="89901"/>
    <n v="197582"/>
    <n v="94.43"/>
    <n v="422"/>
    <n v="3422"/>
    <n v="2974"/>
    <n v="2.1358220890566955E-3"/>
    <n v="1.7319391442540313E-2"/>
    <n v="3432"/>
    <n v="1.737E-2"/>
    <x v="0"/>
    <n v="4.6940523464700061E-3"/>
    <s v="Bad"/>
  </r>
  <r>
    <s v="AE"/>
    <s v="Social_MK~AE_TG"/>
    <s v="CDP"/>
    <s v="AR"/>
    <s v="Static"/>
    <s v="1x1"/>
    <n v="100097"/>
    <n v="202377"/>
    <n v="90.35"/>
    <n v="536"/>
    <n v="0"/>
    <n v="0"/>
    <n v="2.6485223123180993E-3"/>
    <n v="0"/>
    <n v="351"/>
    <n v="1.7343899999999999E-3"/>
    <x v="1"/>
    <n v="5.354805838336813E-3"/>
    <s v="Bad"/>
  </r>
  <r>
    <s v="AE"/>
    <s v="Social_MK~AE_TG"/>
    <s v="Interests"/>
    <s v="AR"/>
    <s v="Static"/>
    <s v="1x1"/>
    <n v="98974"/>
    <n v="198163"/>
    <n v="90.03"/>
    <n v="533"/>
    <n v="0"/>
    <n v="0"/>
    <n v="2.6897049398727311E-3"/>
    <n v="0"/>
    <n v="347"/>
    <n v="1.7510799999999999E-3"/>
    <x v="0"/>
    <n v="5.3852526926263461E-3"/>
    <s v="Bad"/>
  </r>
  <r>
    <s v="AE"/>
    <s v="Social_MK~AE_TG"/>
    <s v="Interests"/>
    <s v="EN"/>
    <s v="Video"/>
    <s v="16x9"/>
    <n v="66674"/>
    <n v="117572"/>
    <n v="87.57"/>
    <n v="431"/>
    <n v="20385"/>
    <n v="491"/>
    <n v="3.6658388051576908E-3"/>
    <n v="0.17338311842955806"/>
    <n v="20633"/>
    <n v="0.17549245999999999"/>
    <x v="0"/>
    <n v="6.4642889282178961E-3"/>
    <s v="Bad"/>
  </r>
  <r>
    <s v="AE"/>
    <s v="Social_MK~AE_TG"/>
    <s v="Interests"/>
    <s v="EN"/>
    <s v="Video"/>
    <s v="16x9"/>
    <n v="112957"/>
    <n v="202733"/>
    <n v="85.96"/>
    <n v="576"/>
    <n v="8255"/>
    <n v="244"/>
    <n v="2.8411753389926651E-3"/>
    <n v="4.0718580596153561E-2"/>
    <n v="8479"/>
    <n v="4.1823480000000003E-2"/>
    <x v="0"/>
    <n v="5.0992855688447806E-3"/>
    <s v="Bad"/>
  </r>
  <r>
    <s v="AE"/>
    <s v="Social_MK~AE_TG"/>
    <s v="Interests"/>
    <s v="AR"/>
    <s v="Video"/>
    <s v="1x1"/>
    <n v="39760"/>
    <n v="89510"/>
    <n v="82.1"/>
    <n v="442"/>
    <n v="18130"/>
    <n v="423"/>
    <n v="4.937995754664283E-3"/>
    <n v="0.20254720143000782"/>
    <n v="18371"/>
    <n v="0.20523964"/>
    <x v="0"/>
    <n v="1.111670020120724E-2"/>
    <s v="Bad"/>
  </r>
  <r>
    <s v="AE"/>
    <s v="Social_MK~AE_TG"/>
    <s v="Interests"/>
    <s v="AR"/>
    <s v="Video"/>
    <s v="1x1"/>
    <n v="85233"/>
    <n v="149795"/>
    <n v="69.31"/>
    <n v="456"/>
    <n v="4178"/>
    <n v="103"/>
    <n v="3.044160352481725E-3"/>
    <n v="2.7891451650589139E-2"/>
    <n v="4250"/>
    <n v="2.8372109999999999E-2"/>
    <x v="0"/>
    <n v="5.3500404772799269E-3"/>
    <s v="Bad"/>
  </r>
  <r>
    <s v="AE"/>
    <s v="Social_MK~AE_TG"/>
    <s v="Interests"/>
    <s v="EN"/>
    <s v="Video"/>
    <s v="16x9"/>
    <n v="78831"/>
    <n v="160901"/>
    <n v="68"/>
    <n v="503"/>
    <n v="6557"/>
    <n v="300"/>
    <n v="3.1261458909515789E-3"/>
    <n v="4.0751766614253483E-2"/>
    <n v="6789"/>
    <n v="4.2193649999999999E-2"/>
    <x v="0"/>
    <n v="6.3807385419441592E-3"/>
    <s v="Bad"/>
  </r>
  <r>
    <s v="AE"/>
    <s v="Social_MK~AE_TG"/>
    <s v="Interests"/>
    <s v="EN"/>
    <s v="Video"/>
    <s v="1x1"/>
    <n v="67698"/>
    <n v="123008"/>
    <n v="55.1"/>
    <n v="403"/>
    <n v="2615"/>
    <n v="90"/>
    <n v="3.276209677419355E-3"/>
    <n v="2.1258779916753383E-2"/>
    <n v="2713"/>
    <n v="2.2055479999999999E-2"/>
    <x v="0"/>
    <n v="5.9529085054211353E-3"/>
    <s v="Bad"/>
  </r>
  <r>
    <s v="AE"/>
    <s v="Social_MK~AE_TG"/>
    <s v="Interests"/>
    <s v="EN"/>
    <s v="Video"/>
    <s v="16x9"/>
    <n v="37856"/>
    <n v="72241"/>
    <n v="54.4"/>
    <n v="198"/>
    <n v="13629"/>
    <n v="165"/>
    <n v="2.7408258468182888E-3"/>
    <n v="0.18866017912265887"/>
    <n v="13750"/>
    <n v="0.19033512999999999"/>
    <x v="0"/>
    <n v="5.2303465765004224E-3"/>
    <s v="Bad"/>
  </r>
  <r>
    <s v="AE"/>
    <s v="Social_MK~AE_TG"/>
    <s v="Interests"/>
    <s v="AR"/>
    <s v="Video"/>
    <s v="1x1"/>
    <n v="46720"/>
    <n v="109820"/>
    <n v="48.55"/>
    <n v="240"/>
    <n v="1571"/>
    <n v="1370"/>
    <n v="2.1853942815516299E-3"/>
    <n v="1.4305226734656711E-2"/>
    <n v="1645"/>
    <n v="1.4979060000000001E-2"/>
    <x v="0"/>
    <n v="5.1369863013698627E-3"/>
    <s v="Bad"/>
  </r>
  <r>
    <s v="AE"/>
    <s v="Social_MK~AE_TG"/>
    <s v="Interests"/>
    <s v="EN"/>
    <s v="Static"/>
    <s v="1x1"/>
    <n v="69551"/>
    <n v="111983"/>
    <n v="46.65"/>
    <n v="246"/>
    <n v="0"/>
    <n v="0"/>
    <n v="2.1967620085191503E-3"/>
    <n v="0"/>
    <n v="158"/>
    <n v="1.4109299999999999E-3"/>
    <x v="0"/>
    <n v="3.5369728688300671E-3"/>
    <s v="Bad"/>
  </r>
  <r>
    <s v="AE"/>
    <s v="Social_MK~AE_TG"/>
    <s v="CDP"/>
    <s v="EN"/>
    <s v="Video"/>
    <s v="1x1"/>
    <n v="44213"/>
    <n v="98096"/>
    <n v="42.98"/>
    <n v="419"/>
    <n v="3530"/>
    <n v="189"/>
    <n v="4.2713260479530259E-3"/>
    <n v="3.5985157396835755E-2"/>
    <n v="3588"/>
    <n v="3.6576409999999997E-2"/>
    <x v="1"/>
    <n v="9.4768507000203561E-3"/>
    <s v="Bad"/>
  </r>
  <r>
    <s v="AE"/>
    <s v="Social_MK~AE_TG"/>
    <s v="Interests"/>
    <s v="EN"/>
    <s v="Carousel"/>
    <s v="1x1"/>
    <n v="50961"/>
    <n v="80911"/>
    <n v="38.81"/>
    <n v="140"/>
    <n v="2584"/>
    <n v="2642"/>
    <n v="1.7302962514367639E-3"/>
    <n v="3.1936325097947124E-2"/>
    <n v="2654"/>
    <n v="3.2801469999999999E-2"/>
    <x v="0"/>
    <n v="2.7471988383273478E-3"/>
    <s v="Bad"/>
  </r>
  <r>
    <s v="AE"/>
    <s v="Social_MK~AE_TG"/>
    <s v="Interests"/>
    <s v="EN"/>
    <s v="Video"/>
    <s v="1x1"/>
    <n v="52737"/>
    <n v="80494"/>
    <n v="36.69"/>
    <n v="261"/>
    <n v="2454"/>
    <n v="141"/>
    <n v="3.2424777002012573E-3"/>
    <n v="3.0486744353616417E-2"/>
    <n v="2518"/>
    <n v="3.1281829999999997E-2"/>
    <x v="0"/>
    <n v="4.9490869787815004E-3"/>
    <s v="Bad"/>
  </r>
  <r>
    <s v="AE"/>
    <s v="Social_MK~AE_TG"/>
    <s v="CDP"/>
    <s v="AR"/>
    <s v="Static"/>
    <s v="1x1"/>
    <n v="42864"/>
    <n v="67488"/>
    <n v="33.479999999999997"/>
    <n v="145"/>
    <n v="0"/>
    <n v="0"/>
    <n v="2.148530109056425E-3"/>
    <n v="0"/>
    <n v="82"/>
    <n v="1.21503E-3"/>
    <x v="1"/>
    <n v="3.3827920865994779E-3"/>
    <s v="Bad"/>
  </r>
  <r>
    <s v="AE"/>
    <s v="Social_MK~AE_TG"/>
    <s v="Interests"/>
    <s v="EN"/>
    <s v="Static"/>
    <s v="1x1"/>
    <n v="41111"/>
    <n v="74935"/>
    <n v="31.35"/>
    <n v="177"/>
    <n v="0"/>
    <n v="0"/>
    <n v="2.3620471074931606E-3"/>
    <n v="0"/>
    <n v="124"/>
    <n v="1.6547700000000001E-3"/>
    <x v="0"/>
    <n v="4.3054170416676803E-3"/>
    <s v="Bad"/>
  </r>
  <r>
    <s v="AE"/>
    <s v="Social_MK~AE_TG"/>
    <s v="Interests"/>
    <s v="AR"/>
    <s v="Video"/>
    <s v="1x1"/>
    <n v="24664"/>
    <n v="32039"/>
    <n v="28.83"/>
    <n v="199"/>
    <n v="7350"/>
    <n v="87"/>
    <n v="6.2111801242236021E-3"/>
    <n v="0.22940790911077125"/>
    <n v="7506"/>
    <n v="0.23427697"/>
    <x v="0"/>
    <n v="8.0684398313331171E-3"/>
    <s v="Bad"/>
  </r>
  <r>
    <s v="AE"/>
    <s v="Social_MK~AE_TG"/>
    <s v="Interests"/>
    <s v="AR"/>
    <s v="Video"/>
    <s v="9x16"/>
    <n v="52224"/>
    <n v="59574"/>
    <n v="28.78"/>
    <n v="33"/>
    <n v="3099"/>
    <n v="69"/>
    <n v="5.5393292375868666E-4"/>
    <n v="5.2019337294793029E-2"/>
    <n v="3130"/>
    <n v="5.2539700000000002E-2"/>
    <x v="0"/>
    <n v="6.3189338235294121E-4"/>
    <s v="Bad"/>
  </r>
  <r>
    <s v="AE"/>
    <s v="Social_MK~AE_TG"/>
    <s v="Interests"/>
    <s v="AR"/>
    <s v="Video"/>
    <s v="1x1"/>
    <n v="9136"/>
    <n v="11580"/>
    <n v="27.15"/>
    <n v="85"/>
    <n v="5444"/>
    <n v="16"/>
    <n v="7.3402417962003452E-3"/>
    <n v="0.47012089810017271"/>
    <n v="5518"/>
    <n v="0.47651123000000001"/>
    <x v="0"/>
    <n v="9.3038528896672509E-3"/>
    <s v="Bad"/>
  </r>
  <r>
    <s v="AE"/>
    <s v="Social_MK~AE_TG"/>
    <s v="CDP"/>
    <s v="EN"/>
    <s v="Video"/>
    <s v="16x9"/>
    <n v="25511"/>
    <n v="56641"/>
    <n v="27.12"/>
    <n v="158"/>
    <n v="2259"/>
    <n v="94"/>
    <n v="2.7894987729736409E-3"/>
    <n v="3.9882770431313004E-2"/>
    <n v="2296"/>
    <n v="4.0536009999999997E-2"/>
    <x v="1"/>
    <n v="6.1934067657089097E-3"/>
    <s v="Bad"/>
  </r>
  <r>
    <s v="AE"/>
    <s v="Social_MK~AE_TG"/>
    <s v="Interests"/>
    <s v="EN"/>
    <s v="Video"/>
    <s v="16x9"/>
    <n v="34601"/>
    <n v="55864"/>
    <n v="25.69"/>
    <n v="122"/>
    <n v="1703"/>
    <n v="33"/>
    <n v="2.1838751253043104E-3"/>
    <n v="3.0484748675354431E-2"/>
    <n v="1732"/>
    <n v="3.1003869999999999E-2"/>
    <x v="0"/>
    <n v="3.5259096557902951E-3"/>
    <s v="Bad"/>
  </r>
  <r>
    <s v="AE"/>
    <s v="Social_MK~AE_TG"/>
    <s v="CDP"/>
    <s v="AR"/>
    <s v="Static"/>
    <s v="1x1"/>
    <n v="35632"/>
    <n v="58768"/>
    <n v="25.24"/>
    <n v="116"/>
    <n v="0"/>
    <n v="0"/>
    <n v="1.9738633269806697E-3"/>
    <n v="0"/>
    <n v="73"/>
    <n v="1.2421699999999999E-3"/>
    <x v="1"/>
    <n v="3.2555006735518629E-3"/>
    <s v="Bad"/>
  </r>
  <r>
    <s v="AE"/>
    <s v="Social_MK~AE_TG"/>
    <s v="Interests"/>
    <s v="AR"/>
    <s v="Video"/>
    <s v="9x16"/>
    <n v="41544"/>
    <n v="47723"/>
    <n v="23.43"/>
    <n v="27"/>
    <n v="2052"/>
    <n v="25"/>
    <n v="5.6576493514657504E-4"/>
    <n v="4.2998135071139705E-2"/>
    <n v="2080"/>
    <n v="4.3584850000000001E-2"/>
    <x v="0"/>
    <n v="6.499133448873484E-4"/>
    <s v="Bad"/>
  </r>
  <r>
    <s v="AE"/>
    <s v="Social_MK~AE_TG"/>
    <s v="Interests"/>
    <s v="EN"/>
    <s v="Video"/>
    <s v="1x1"/>
    <n v="12480"/>
    <n v="14905"/>
    <n v="23.4"/>
    <n v="71"/>
    <n v="3887"/>
    <n v="37"/>
    <n v="4.7635021804763502E-3"/>
    <n v="0.26078497148607849"/>
    <n v="3945"/>
    <n v="0.26467627999999999"/>
    <x v="0"/>
    <n v="5.6891025641025638E-3"/>
    <s v="Bad"/>
  </r>
  <r>
    <s v="AE"/>
    <s v="Social_MK~AE_TG"/>
    <s v="CDP"/>
    <s v="AR"/>
    <s v="Video"/>
    <s v="1x1"/>
    <n v="23105"/>
    <n v="47295"/>
    <n v="22.01"/>
    <n v="209"/>
    <n v="1796"/>
    <n v="105"/>
    <n v="4.4190717834866264E-3"/>
    <n v="3.797441590020087E-2"/>
    <n v="1837"/>
    <n v="3.8841319999999999E-2"/>
    <x v="1"/>
    <n v="9.0456611123133513E-3"/>
    <s v="Bad"/>
  </r>
  <r>
    <s v="AE"/>
    <s v="Social_MK~AE_TG"/>
    <s v="CDP"/>
    <s v="EN"/>
    <s v="Video"/>
    <s v="16x9"/>
    <n v="21016"/>
    <n v="47359"/>
    <n v="20.8"/>
    <n v="174"/>
    <n v="2041"/>
    <n v="80"/>
    <n v="3.6740640638526995E-3"/>
    <n v="4.3096349162777929E-2"/>
    <n v="2073"/>
    <n v="4.3772039999999998E-2"/>
    <x v="1"/>
    <n v="8.2794061667301102E-3"/>
    <s v="Bad"/>
  </r>
  <r>
    <s v="AE"/>
    <s v="Social_MK~AE_TG"/>
    <s v="Interests"/>
    <s v="EN"/>
    <s v="Video"/>
    <s v="1x1"/>
    <n v="11188"/>
    <n v="14744"/>
    <n v="20.49"/>
    <n v="100"/>
    <n v="7359"/>
    <n v="36"/>
    <n v="6.7824199674443838E-3"/>
    <n v="0.49911828540423225"/>
    <n v="7442"/>
    <n v="0.50474768999999997"/>
    <x v="0"/>
    <n v="8.9381480157311403E-3"/>
    <s v="Bad"/>
  </r>
  <r>
    <s v="AE"/>
    <s v="Social_MK~AE_TG"/>
    <s v="Interests"/>
    <s v="AR"/>
    <s v="Video"/>
    <s v="16x9"/>
    <n v="14188"/>
    <n v="22386"/>
    <n v="18.239999999999998"/>
    <n v="73"/>
    <n v="3736"/>
    <n v="26"/>
    <n v="3.2609666756008219E-3"/>
    <n v="0.16689002054855714"/>
    <n v="3778"/>
    <n v="0.16876619000000001"/>
    <x v="0"/>
    <n v="5.1451931209472793E-3"/>
    <s v="Bad"/>
  </r>
  <r>
    <s v="AE"/>
    <s v="Social_MK~AE_TG"/>
    <s v="CDP"/>
    <s v="EN"/>
    <s v="Static"/>
    <s v="1x1"/>
    <n v="26215"/>
    <n v="41863"/>
    <n v="17.09"/>
    <n v="85"/>
    <n v="0"/>
    <n v="0"/>
    <n v="2.0304326015813485E-3"/>
    <n v="0"/>
    <n v="45"/>
    <n v="1.07493E-3"/>
    <x v="1"/>
    <n v="3.242418462712188E-3"/>
    <s v="Bad"/>
  </r>
  <r>
    <s v="AE"/>
    <s v="Social_MK~AE_TG"/>
    <s v="CDP"/>
    <s v="AR"/>
    <s v="Video"/>
    <s v="16x9"/>
    <n v="23439"/>
    <n v="41138"/>
    <n v="16.329999999999998"/>
    <n v="127"/>
    <n v="1737"/>
    <n v="87"/>
    <n v="3.0871700131265495E-3"/>
    <n v="4.2223734746463126E-2"/>
    <n v="1802"/>
    <n v="4.380378E-2"/>
    <x v="1"/>
    <n v="5.4183198941934376E-3"/>
    <s v="Bad"/>
  </r>
  <r>
    <s v="AE"/>
    <s v="Social_MK~AE_TG"/>
    <s v="CDP"/>
    <s v="EN"/>
    <s v="Static"/>
    <s v="1x1"/>
    <n v="24736"/>
    <n v="36396"/>
    <n v="15.85"/>
    <n v="94"/>
    <n v="0"/>
    <n v="0"/>
    <n v="2.5827013957577757E-3"/>
    <n v="0"/>
    <n v="49"/>
    <n v="1.3462999999999999E-3"/>
    <x v="1"/>
    <n v="3.8001293661060801E-3"/>
    <s v="Bad"/>
  </r>
  <r>
    <s v="AE"/>
    <s v="Social_MK~AE_TG"/>
    <s v="Interests"/>
    <s v="AR"/>
    <s v="Video"/>
    <s v="9x16"/>
    <n v="18427"/>
    <n v="29295"/>
    <n v="13.6"/>
    <n v="4"/>
    <n v="644"/>
    <n v="4"/>
    <n v="1.3654207202594298E-4"/>
    <n v="2.1983273596176821E-2"/>
    <n v="651"/>
    <n v="2.2222220000000001E-2"/>
    <x v="0"/>
    <n v="2.1707277364736531E-4"/>
    <s v="Bad"/>
  </r>
  <r>
    <s v="AE"/>
    <s v="Social_MK~AE_TG"/>
    <s v="CDP"/>
    <s v="AR"/>
    <s v="Video"/>
    <s v="1x1"/>
    <n v="12979"/>
    <n v="24467"/>
    <n v="12.17"/>
    <n v="35"/>
    <n v="448"/>
    <n v="380"/>
    <n v="1.4304982220950668E-3"/>
    <n v="1.8310377242816856E-2"/>
    <n v="455"/>
    <n v="1.8596479999999999E-2"/>
    <x v="1"/>
    <n v="2.6966638415902612E-3"/>
    <s v="Bad"/>
  </r>
  <r>
    <s v="AE"/>
    <s v="Social_MK~AE_TG"/>
    <s v="Interests"/>
    <s v="EN"/>
    <s v="Video"/>
    <s v="9x16"/>
    <n v="18592"/>
    <n v="24891"/>
    <n v="11.42"/>
    <n v="7"/>
    <n v="741"/>
    <n v="4"/>
    <n v="2.8122614599654491E-4"/>
    <n v="2.976979631191997E-2"/>
    <n v="752"/>
    <n v="3.0211720000000001E-2"/>
    <x v="0"/>
    <n v="3.7650602409638562E-4"/>
    <s v="Bad"/>
  </r>
  <r>
    <s v="AE"/>
    <s v="Social_MK~AE_TG"/>
    <s v="Interests"/>
    <s v="EN"/>
    <s v="Video"/>
    <s v="16x9"/>
    <n v="7452"/>
    <n v="12246"/>
    <n v="10.29"/>
    <n v="31"/>
    <n v="2643"/>
    <n v="10"/>
    <n v="2.5314388371713214E-3"/>
    <n v="0.21582557569818717"/>
    <n v="2667"/>
    <n v="0.21778539999999999"/>
    <x v="0"/>
    <n v="4.1599570585077834E-3"/>
    <s v="Bad"/>
  </r>
  <r>
    <s v="AE"/>
    <s v="Social_MK~AE_TG"/>
    <s v="Interests"/>
    <s v="EN"/>
    <s v="Video"/>
    <s v="9x16"/>
    <n v="13223"/>
    <n v="21892"/>
    <n v="9.77"/>
    <n v="4"/>
    <n v="674"/>
    <n v="17"/>
    <n v="1.8271514708569341E-4"/>
    <n v="3.0787502283939339E-2"/>
    <n v="686"/>
    <n v="3.133565E-2"/>
    <x v="0"/>
    <n v="3.0250321409664978E-4"/>
    <s v="Bad"/>
  </r>
  <r>
    <s v="AE"/>
    <s v="Social_MK~AE_TG"/>
    <s v="CDP"/>
    <s v="AR"/>
    <s v="Video"/>
    <s v="1x1"/>
    <n v="11071"/>
    <n v="17779"/>
    <n v="9.68"/>
    <n v="42"/>
    <n v="605"/>
    <n v="18"/>
    <n v="2.3623375892907364E-3"/>
    <n v="3.4028910512402269E-2"/>
    <n v="613"/>
    <n v="3.4478880000000003E-2"/>
    <x v="1"/>
    <n v="3.7936952398157351E-3"/>
    <s v="Bad"/>
  </r>
  <r>
    <s v="AE"/>
    <s v="Social_MK~AE_TG"/>
    <s v="CDP"/>
    <s v="AR"/>
    <s v="Video"/>
    <s v="16x9"/>
    <n v="11469"/>
    <n v="19209"/>
    <n v="9.34"/>
    <n v="45"/>
    <n v="937"/>
    <n v="28"/>
    <n v="2.342651881930345E-3"/>
    <n v="4.8779218074860742E-2"/>
    <n v="957"/>
    <n v="4.9820400000000001E-2"/>
    <x v="1"/>
    <n v="3.9236201935652628E-3"/>
    <s v="Bad"/>
  </r>
  <r>
    <s v="AE"/>
    <s v="Social_MK~AE_TG"/>
    <s v="CDP"/>
    <s v="EN"/>
    <s v="Video"/>
    <s v="16x9"/>
    <n v="7920"/>
    <n v="11358"/>
    <n v="9.09"/>
    <n v="41"/>
    <n v="2243"/>
    <n v="65"/>
    <n v="3.609790456066209E-3"/>
    <n v="0.19748195104771968"/>
    <n v="2266"/>
    <n v="0.19950696000000001"/>
    <x v="1"/>
    <n v="5.1767676767676771E-3"/>
    <s v="Bad"/>
  </r>
  <r>
    <s v="AE"/>
    <s v="Social_MK~AE_TG"/>
    <s v="CDP"/>
    <s v="EN"/>
    <s v="Video"/>
    <s v="16x9"/>
    <n v="4974"/>
    <n v="8494"/>
    <n v="8.16"/>
    <n v="30"/>
    <n v="1797"/>
    <n v="31"/>
    <n v="3.5319048740287263E-3"/>
    <n v="0.21156110195432071"/>
    <n v="1810"/>
    <n v="0.21309159"/>
    <x v="1"/>
    <n v="6.0313630880579009E-3"/>
    <s v="Bad"/>
  </r>
  <r>
    <s v="AE"/>
    <s v="Social_MK~AE_TG"/>
    <s v="CDP"/>
    <s v="EN"/>
    <s v="Video"/>
    <s v="1x1"/>
    <n v="10435"/>
    <n v="16456"/>
    <n v="7.95"/>
    <n v="49"/>
    <n v="353"/>
    <n v="15"/>
    <n v="2.9776373359261059E-3"/>
    <n v="2.1451142440447254E-2"/>
    <n v="366"/>
    <n v="2.2241130000000001E-2"/>
    <x v="1"/>
    <n v="4.6957355055103024E-3"/>
    <s v="Bad"/>
  </r>
  <r>
    <s v="AE"/>
    <s v="Social_MK~AE_TG"/>
    <s v="CDP"/>
    <s v="EN"/>
    <s v="Video"/>
    <s v="1x1"/>
    <n v="9954"/>
    <n v="14376"/>
    <n v="7.27"/>
    <n v="34"/>
    <n v="422"/>
    <n v="21"/>
    <n v="2.3650528658875902E-3"/>
    <n v="2.9354479688369503E-2"/>
    <n v="441"/>
    <n v="3.0676129999999999E-2"/>
    <x v="1"/>
    <n v="3.41571227647177E-3"/>
    <s v="Bad"/>
  </r>
  <r>
    <s v="AE"/>
    <s v="Social_MK~AE_TG"/>
    <s v="CDP"/>
    <s v="AR"/>
    <s v="Video"/>
    <s v="1x1"/>
    <n v="8952"/>
    <n v="13427"/>
    <n v="6.71"/>
    <n v="35"/>
    <n v="451"/>
    <n v="20"/>
    <n v="2.6066880166828034E-3"/>
    <n v="3.358903701496984E-2"/>
    <n v="462"/>
    <n v="3.4408279999999999E-2"/>
    <x v="1"/>
    <n v="3.9097408400357459E-3"/>
    <s v="Bad"/>
  </r>
  <r>
    <s v="AE"/>
    <s v="Social_MK~AE_TG"/>
    <s v="CDP"/>
    <s v="AR"/>
    <s v="Video"/>
    <s v="16x9"/>
    <n v="8550"/>
    <n v="13881"/>
    <n v="6.57"/>
    <n v="40"/>
    <n v="582"/>
    <n v="20"/>
    <n v="2.8816367696851814E-3"/>
    <n v="4.1927814998919385E-2"/>
    <n v="597"/>
    <n v="4.300843E-2"/>
    <x v="1"/>
    <n v="4.6783625730994153E-3"/>
    <s v="Bad"/>
  </r>
  <r>
    <s v="AE"/>
    <s v="Social_MK~AE_TG"/>
    <s v="CDP"/>
    <s v="AR"/>
    <s v="Video"/>
    <s v="16x9"/>
    <n v="3096"/>
    <n v="4023"/>
    <n v="6.42"/>
    <n v="24"/>
    <n v="1465"/>
    <n v="22"/>
    <n v="5.9656972408650257E-3"/>
    <n v="0.364156102411136"/>
    <n v="1486"/>
    <n v="0.36937608999999999"/>
    <x v="1"/>
    <n v="7.7519379844961239E-3"/>
    <s v="Bad"/>
  </r>
  <r>
    <s v="AE"/>
    <s v="Social_MK~AE_TG"/>
    <s v="Interests"/>
    <s v="AR"/>
    <s v="Carousel"/>
    <s v="1x1"/>
    <n v="9862"/>
    <n v="12336"/>
    <n v="6.07"/>
    <n v="17"/>
    <n v="390"/>
    <n v="400"/>
    <n v="1.3780804150453957E-3"/>
    <n v="3.1614785992217898E-2"/>
    <n v="398"/>
    <n v="3.226329E-2"/>
    <x v="0"/>
    <n v="1.7237882782397079E-3"/>
    <s v="Bad"/>
  </r>
  <r>
    <s v="AE"/>
    <s v="Social_MK~AE_TG"/>
    <s v="CDP"/>
    <s v="EN"/>
    <s v="Video"/>
    <s v="1x1"/>
    <n v="7006"/>
    <n v="10316"/>
    <n v="5.22"/>
    <n v="18"/>
    <n v="207"/>
    <n v="172"/>
    <n v="1.7448623497479643E-3"/>
    <n v="2.006591702210159E-2"/>
    <n v="214"/>
    <n v="2.0744470000000001E-2"/>
    <x v="1"/>
    <n v="2.5692263773908078E-3"/>
    <s v="Bad"/>
  </r>
  <r>
    <s v="AE"/>
    <s v="Social_MK~AE_TG"/>
    <s v="CDP"/>
    <s v="EN"/>
    <s v="Video"/>
    <s v="1x1"/>
    <n v="2420"/>
    <n v="2801"/>
    <n v="4.91"/>
    <n v="15"/>
    <n v="2063"/>
    <n v="6"/>
    <n v="5.3552302749018208E-3"/>
    <n v="0.73652267047483044"/>
    <n v="2075"/>
    <n v="0.74080685000000002"/>
    <x v="1"/>
    <n v="6.1983471074380167E-3"/>
    <s v="Bad"/>
  </r>
  <r>
    <s v="AE"/>
    <s v="Social_MK~AE_TG"/>
    <s v="CDP"/>
    <s v="EN"/>
    <s v="Video"/>
    <s v="9x16"/>
    <n v="7266"/>
    <n v="9418"/>
    <n v="4.09"/>
    <n v="4"/>
    <n v="375"/>
    <n v="10"/>
    <n v="4.2471862391165854E-4"/>
    <n v="3.981737099171799E-2"/>
    <n v="380"/>
    <n v="4.0348269999999999E-2"/>
    <x v="1"/>
    <n v="5.5050922102945225E-4"/>
    <s v="Bad"/>
  </r>
  <r>
    <s v="AE"/>
    <s v="Social_MK~AE_TG"/>
    <s v="CDP"/>
    <s v="AR"/>
    <s v="Video"/>
    <s v="9x16"/>
    <n v="5814"/>
    <n v="7800"/>
    <n v="3.58"/>
    <n v="1"/>
    <n v="199"/>
    <n v="1"/>
    <n v="1.2820512820512821E-4"/>
    <n v="2.5512820512820514E-2"/>
    <n v="202"/>
    <n v="2.5897440000000001E-2"/>
    <x v="1"/>
    <n v="1.7199862401100791E-4"/>
    <s v="Bad"/>
  </r>
  <r>
    <s v="AE"/>
    <s v="Social_MK~AE_TG"/>
    <s v="CDP"/>
    <s v="AR"/>
    <s v="Video"/>
    <s v="9x16"/>
    <n v="7593"/>
    <n v="8653"/>
    <n v="3.45"/>
    <n v="5"/>
    <n v="477"/>
    <n v="12"/>
    <n v="5.7783427712931933E-4"/>
    <n v="5.5125390038137059E-2"/>
    <n v="479"/>
    <n v="5.5356519999999999E-2"/>
    <x v="1"/>
    <n v="6.5850125115237714E-4"/>
    <s v="Bad"/>
  </r>
  <r>
    <s v="AE"/>
    <s v="Social_MK~AE_TG"/>
    <s v="CDP"/>
    <s v="EN"/>
    <s v="Video"/>
    <s v="9x16"/>
    <n v="4957"/>
    <n v="6369"/>
    <n v="2.99"/>
    <n v="4"/>
    <n v="213"/>
    <n v="3"/>
    <n v="6.2804207881928084E-4"/>
    <n v="3.344324069712671E-2"/>
    <n v="216"/>
    <n v="3.3914270000000003E-2"/>
    <x v="1"/>
    <n v="8.0693968125882594E-4"/>
    <s v="Bad"/>
  </r>
  <r>
    <s v="AE"/>
    <s v="Social_MK~AE_TG"/>
    <s v="Interests"/>
    <s v="EN"/>
    <s v="Video"/>
    <s v="9x16"/>
    <n v="4605"/>
    <n v="6173"/>
    <n v="2.8"/>
    <n v="0"/>
    <n v="133"/>
    <n v="0"/>
    <n v="0"/>
    <n v="2.1545439818564719E-2"/>
    <n v="133"/>
    <n v="2.1545439999999999E-2"/>
    <x v="0"/>
    <n v="0"/>
    <s v="Bad"/>
  </r>
  <r>
    <s v="AE"/>
    <s v="Social_MK~AE_TG"/>
    <s v="CDP"/>
    <s v="AR"/>
    <s v="Video"/>
    <s v="1x1"/>
    <n v="1601"/>
    <n v="1784"/>
    <n v="2.79"/>
    <n v="13"/>
    <n v="737"/>
    <n v="3"/>
    <n v="7.2869955156950675E-3"/>
    <n v="0.41311659192825112"/>
    <n v="748"/>
    <n v="0.41928251"/>
    <x v="1"/>
    <n v="8.1199250468457218E-3"/>
    <s v="Bad"/>
  </r>
  <r>
    <s v="AE"/>
    <s v="Social_MK~AE_TG"/>
    <s v="CDP"/>
    <s v="EN"/>
    <s v="Video"/>
    <s v="1x1"/>
    <n v="1952"/>
    <n v="2322"/>
    <n v="2.41"/>
    <n v="14"/>
    <n v="836"/>
    <n v="3"/>
    <n v="6.029285099052541E-3"/>
    <n v="0.36003445305770887"/>
    <n v="849"/>
    <n v="0.36563307"/>
    <x v="1"/>
    <n v="7.1721311475409838E-3"/>
    <s v="Bad"/>
  </r>
  <r>
    <s v="AE"/>
    <s v="Social_MK~AE_TG"/>
    <s v="Interests"/>
    <s v="EN"/>
    <s v="Video"/>
    <s v="1x1"/>
    <n v="2378"/>
    <n v="2853"/>
    <n v="2.36"/>
    <n v="9"/>
    <n v="194"/>
    <n v="156"/>
    <n v="3.1545741324921135E-3"/>
    <n v="6.7998597967052224E-2"/>
    <n v="194"/>
    <n v="6.7998600000000006E-2"/>
    <x v="0"/>
    <n v="3.784693019343986E-3"/>
    <s v="Bad"/>
  </r>
  <r>
    <s v="AE"/>
    <s v="Social_MK~AE_TG"/>
    <s v="CDP"/>
    <s v="AR"/>
    <s v="Video"/>
    <s v="1x1"/>
    <n v="1549"/>
    <n v="1775"/>
    <n v="2.21"/>
    <n v="7"/>
    <n v="719"/>
    <n v="7"/>
    <n v="3.9436619718309857E-3"/>
    <n v="0.40507042253521125"/>
    <n v="725"/>
    <n v="0.4084507"/>
    <x v="1"/>
    <n v="4.5190445448676569E-3"/>
    <s v="Bad"/>
  </r>
  <r>
    <s v="AE"/>
    <s v="Social_MK~AE_TG"/>
    <s v="CDP"/>
    <s v="EN"/>
    <s v="Video"/>
    <s v="16x9"/>
    <n v="1443"/>
    <n v="2345"/>
    <n v="2.04"/>
    <n v="9"/>
    <n v="566"/>
    <n v="1"/>
    <n v="3.8379530916844351E-3"/>
    <n v="0.24136460554371003"/>
    <n v="570"/>
    <n v="0.24307036000000001"/>
    <x v="1"/>
    <n v="6.2370062370062374E-3"/>
    <s v="Bad"/>
  </r>
  <r>
    <s v="AE"/>
    <s v="Social_MK~AE_TG"/>
    <s v="CDP"/>
    <s v="AR"/>
    <s v="Video"/>
    <s v="9x16"/>
    <n v="3682"/>
    <n v="4491"/>
    <n v="1.99"/>
    <n v="1"/>
    <n v="170"/>
    <n v="1"/>
    <n v="2.2266755733689602E-4"/>
    <n v="3.785348474727232E-2"/>
    <n v="171"/>
    <n v="3.8076150000000003E-2"/>
    <x v="1"/>
    <n v="2.7159152634437798E-4"/>
    <s v="Bad"/>
  </r>
  <r>
    <s v="AE"/>
    <s v="Social_MK~AE_TG"/>
    <s v="CDP"/>
    <s v="EN"/>
    <s v="Carousel"/>
    <s v="1x1"/>
    <n v="2804"/>
    <n v="4196"/>
    <n v="1.82"/>
    <n v="7"/>
    <n v="197"/>
    <n v="195"/>
    <n v="1.6682554814108675E-3"/>
    <n v="4.6949475691134411E-2"/>
    <n v="200"/>
    <n v="4.7664440000000002E-2"/>
    <x v="1"/>
    <n v="2.4964336661911549E-3"/>
    <s v="Bad"/>
  </r>
  <r>
    <s v="AE"/>
    <s v="Social_MK~AE_TG"/>
    <s v="CDP"/>
    <s v="AR"/>
    <s v="Video"/>
    <s v="1x1"/>
    <n v="940"/>
    <n v="1013"/>
    <n v="1.49"/>
    <n v="5"/>
    <n v="428"/>
    <n v="2"/>
    <n v="4.9358341559723592E-3"/>
    <n v="0.42250740375123397"/>
    <n v="433"/>
    <n v="0.42744324"/>
    <x v="1"/>
    <n v="5.3191489361702126E-3"/>
    <s v="Bad"/>
  </r>
  <r>
    <s v="AE"/>
    <s v="Social_MK~AE_TG"/>
    <s v="CDP"/>
    <s v="EN"/>
    <s v="Video"/>
    <s v="1x1"/>
    <n v="381"/>
    <n v="405"/>
    <n v="1.46"/>
    <n v="8"/>
    <n v="277"/>
    <n v="0"/>
    <n v="1.9753086419753086E-2"/>
    <n v="0.68395061728395057"/>
    <n v="286"/>
    <n v="0.70617284000000002"/>
    <x v="1"/>
    <n v="2.0997375328083989E-2"/>
    <s v="Good"/>
  </r>
  <r>
    <s v="AE"/>
    <s v="Social_MK~AE_TG"/>
    <s v="CDP"/>
    <s v="EN"/>
    <s v="Video"/>
    <s v="9x16"/>
    <n v="2670"/>
    <n v="3208"/>
    <n v="1.41"/>
    <n v="1"/>
    <n v="76"/>
    <n v="1"/>
    <n v="3.1172069825436408E-4"/>
    <n v="2.369077306733167E-2"/>
    <n v="77"/>
    <n v="2.4002490000000001E-2"/>
    <x v="1"/>
    <n v="3.7453183520599252E-4"/>
    <s v="Bad"/>
  </r>
  <r>
    <s v="AE"/>
    <s v="Social_MK~AE_TG"/>
    <s v="CDP"/>
    <s v="AR"/>
    <s v="Video"/>
    <s v="16x9"/>
    <n v="1007"/>
    <n v="1188"/>
    <n v="1.23"/>
    <n v="7"/>
    <n v="316"/>
    <n v="1"/>
    <n v="5.8922558922558923E-3"/>
    <n v="0.265993265993266"/>
    <n v="321"/>
    <n v="0.27020201999999999"/>
    <x v="1"/>
    <n v="6.9513406156901684E-3"/>
    <s v="Bad"/>
  </r>
  <r>
    <s v="AE"/>
    <s v="Social_MK~AE_TG"/>
    <s v="Interests"/>
    <s v="AR"/>
    <s v="Video"/>
    <s v="1x1"/>
    <n v="553"/>
    <n v="641"/>
    <n v="0.66"/>
    <n v="4"/>
    <n v="53"/>
    <n v="44"/>
    <n v="6.2402496099843996E-3"/>
    <n v="8.2683307332293288E-2"/>
    <n v="55"/>
    <n v="8.580343E-2"/>
    <x v="0"/>
    <n v="7.2332730560578659E-3"/>
    <s v="Bad"/>
  </r>
  <r>
    <s v="AE"/>
    <s v="Social_MK~AE_TG"/>
    <s v="CDP"/>
    <s v="AR"/>
    <s v="Carousel"/>
    <s v="Carousel"/>
    <n v="698"/>
    <n v="890"/>
    <n v="0.32"/>
    <n v="1"/>
    <n v="43"/>
    <n v="40"/>
    <n v="1.1235955056179776E-3"/>
    <n v="4.8314606741573035E-2"/>
    <n v="43"/>
    <n v="4.8314610000000001E-2"/>
    <x v="1"/>
    <n v="1.4326647564469909E-3"/>
    <s v="Bad"/>
  </r>
  <r>
    <s v="AE"/>
    <s v="Social_MK~AE_TG"/>
    <s v="Interests"/>
    <s v="AR"/>
    <s v="Video"/>
    <s v="9x16"/>
    <n v="1"/>
    <n v="1"/>
    <n v="0.13"/>
    <n v="0"/>
    <n v="0"/>
    <n v="0"/>
    <n v="0"/>
    <n v="0"/>
    <n v="0"/>
    <n v="0"/>
    <x v="0"/>
    <n v="0"/>
    <s v="Bad"/>
  </r>
  <r>
    <s v="AE"/>
    <s v="Social_MK~AE_TG"/>
    <s v="CDP"/>
    <s v="EN"/>
    <s v="Video"/>
    <s v="1x1"/>
    <n v="130"/>
    <n v="164"/>
    <n v="0.1"/>
    <n v="0"/>
    <n v="25"/>
    <n v="20"/>
    <n v="0"/>
    <n v="0.1524390243902439"/>
    <n v="25"/>
    <n v="0.15243902000000001"/>
    <x v="1"/>
    <n v="0"/>
    <s v="Bad"/>
  </r>
  <r>
    <s v="AE"/>
    <s v="Social_MK~AE_TG"/>
    <s v="CDP"/>
    <s v="AR"/>
    <s v="Video"/>
    <s v="9x16"/>
    <n v="1"/>
    <n v="1"/>
    <n v="0.05"/>
    <n v="0"/>
    <n v="0"/>
    <n v="0"/>
    <n v="0"/>
    <n v="0"/>
    <n v="0"/>
    <n v="0"/>
    <x v="1"/>
    <n v="0"/>
    <s v="Bad"/>
  </r>
  <r>
    <s v="AE"/>
    <s v="Social_MK~AE_TG"/>
    <s v="Interests"/>
    <s v="EN"/>
    <s v="Video"/>
    <s v="9x16"/>
    <n v="2"/>
    <n v="2"/>
    <n v="0.02"/>
    <n v="0"/>
    <n v="1"/>
    <n v="0"/>
    <n v="0"/>
    <n v="0.5"/>
    <n v="1"/>
    <n v="0.5"/>
    <x v="0"/>
    <n v="0"/>
    <s v="Bad"/>
  </r>
  <r>
    <s v="AE"/>
    <s v="Social_MK~AE_TG"/>
    <s v="CDP"/>
    <s v="AR"/>
    <s v="Video"/>
    <s v="1x1"/>
    <n v="77"/>
    <n v="83"/>
    <n v="0.02"/>
    <n v="0"/>
    <n v="8"/>
    <n v="7"/>
    <n v="0"/>
    <n v="9.6385542168674704E-2"/>
    <n v="8"/>
    <n v="9.6385540000000006E-2"/>
    <x v="1"/>
    <n v="0"/>
    <s v="Bad"/>
  </r>
  <r>
    <s v="AE"/>
    <s v="Social_MK~AE_TG"/>
    <s v="CDP"/>
    <s v="AR"/>
    <s v="Video"/>
    <s v="9x16"/>
    <n v="1"/>
    <n v="1"/>
    <n v="0.01"/>
    <n v="0"/>
    <n v="0"/>
    <n v="0"/>
    <n v="0"/>
    <n v="0"/>
    <n v="0"/>
    <n v="0"/>
    <x v="1"/>
    <n v="0"/>
    <s v="Bad"/>
  </r>
  <r>
    <s v="AE"/>
    <s v="Social_MK~AE_TG"/>
    <s v="CDP"/>
    <s v="EN"/>
    <s v="Carousel"/>
    <s v="9x16"/>
    <n v="0"/>
    <n v="0"/>
    <n v="0"/>
    <n v="0"/>
    <n v="0"/>
    <n v="0"/>
    <n v="0"/>
    <n v="0"/>
    <n v="0"/>
    <n v="0"/>
    <x v="1"/>
    <n v="0"/>
    <s v="Bad"/>
  </r>
  <r>
    <s v="AE"/>
    <s v="Social_MK~AE_TG"/>
    <s v="Interests"/>
    <s v="EN"/>
    <s v="Carousel"/>
    <s v="9x16"/>
    <n v="0"/>
    <n v="0"/>
    <n v="0"/>
    <n v="0"/>
    <n v="0"/>
    <n v="0"/>
    <n v="0"/>
    <n v="0"/>
    <n v="0"/>
    <n v="0"/>
    <x v="0"/>
    <n v="0"/>
    <s v="Bad"/>
  </r>
  <r>
    <s v="AE"/>
    <s v="Social_MK~AE_TG"/>
    <s v="Interests"/>
    <s v="EN"/>
    <s v="Video"/>
    <s v="9x16"/>
    <n v="1"/>
    <n v="1"/>
    <n v="0"/>
    <n v="0"/>
    <n v="0"/>
    <n v="0"/>
    <n v="0"/>
    <n v="0"/>
    <n v="0"/>
    <n v="0"/>
    <x v="0"/>
    <n v="0"/>
    <s v="Bad"/>
  </r>
  <r>
    <s v="AE"/>
    <s v="Social_MK~AE_TG"/>
    <s v="Interests"/>
    <s v="AR"/>
    <s v="Video"/>
    <s v="9x16"/>
    <n v="1"/>
    <n v="1"/>
    <n v="0"/>
    <n v="0"/>
    <n v="1"/>
    <n v="0"/>
    <n v="0"/>
    <n v="1"/>
    <n v="1"/>
    <n v="1"/>
    <x v="0"/>
    <n v="0"/>
    <s v="Bad"/>
  </r>
  <r>
    <s v="AE"/>
    <s v="Social_MK~AE_TG"/>
    <s v="Interests"/>
    <s v="AR"/>
    <s v="Carousel"/>
    <s v="9x16"/>
    <n v="0"/>
    <n v="0"/>
    <n v="0"/>
    <n v="0"/>
    <n v="0"/>
    <n v="0"/>
    <n v="0"/>
    <n v="0"/>
    <n v="0"/>
    <n v="0"/>
    <x v="0"/>
    <n v="0"/>
    <s v="Bad"/>
  </r>
  <r>
    <s v="AE"/>
    <s v="Social_MK~AE_TG"/>
    <s v="CDP"/>
    <s v="EN"/>
    <s v="Video"/>
    <s v="9x16"/>
    <n v="1"/>
    <n v="1"/>
    <n v="0"/>
    <n v="0"/>
    <n v="0"/>
    <n v="0"/>
    <n v="0"/>
    <n v="0"/>
    <n v="0"/>
    <n v="0"/>
    <x v="1"/>
    <n v="0"/>
    <s v="Bad"/>
  </r>
  <r>
    <s v="AE"/>
    <s v="Social_MK~AE_TG"/>
    <s v="CDP"/>
    <s v="AR"/>
    <s v="Carousel"/>
    <s v="9x16"/>
    <n v="0"/>
    <n v="0"/>
    <n v="0"/>
    <n v="0"/>
    <n v="0"/>
    <n v="0"/>
    <n v="0"/>
    <n v="0"/>
    <n v="0"/>
    <n v="0"/>
    <x v="1"/>
    <n v="0"/>
    <s v="Bad"/>
  </r>
  <r>
    <s v="AE"/>
    <s v="Social_MK~AE_TG"/>
    <s v="CDP"/>
    <s v="EN"/>
    <s v="Video"/>
    <s v="9x16"/>
    <n v="0"/>
    <n v="0"/>
    <n v="0"/>
    <n v="0"/>
    <n v="0"/>
    <n v="0"/>
    <n v="0"/>
    <n v="0"/>
    <n v="0"/>
    <n v="0"/>
    <x v="1"/>
    <n v="0"/>
    <s v="Bad"/>
  </r>
  <r>
    <s v="AE"/>
    <s v="Social_MK~AE_TG"/>
    <s v="CDP"/>
    <s v="EN"/>
    <s v="Video"/>
    <s v="9x16"/>
    <n v="0"/>
    <n v="0"/>
    <n v="0"/>
    <n v="0"/>
    <n v="0"/>
    <n v="0"/>
    <n v="0"/>
    <n v="0"/>
    <n v="0"/>
    <n v="0"/>
    <x v="1"/>
    <n v="0"/>
    <s v="Bad"/>
  </r>
  <r>
    <s v="AE"/>
    <s v="Social_MK~AE_TG"/>
    <s v="Interests"/>
    <s v="AR"/>
    <s v="Video"/>
    <s v="9x16"/>
    <n v="3"/>
    <n v="3"/>
    <n v="0"/>
    <n v="0"/>
    <n v="1"/>
    <n v="0"/>
    <n v="0"/>
    <n v="0.33333333333333331"/>
    <n v="1"/>
    <n v="0.33333332999999998"/>
    <x v="0"/>
    <n v="0"/>
    <s v="Bad"/>
  </r>
  <r>
    <s v="AE"/>
    <s v="Social_MK~AE_TG"/>
    <s v="CDP"/>
    <s v="AR"/>
    <s v="Video"/>
    <s v="9x16"/>
    <n v="0"/>
    <n v="0"/>
    <n v="0"/>
    <n v="0"/>
    <n v="0"/>
    <n v="0"/>
    <n v="0"/>
    <n v="0"/>
    <n v="0"/>
    <n v="0"/>
    <x v="1"/>
    <n v="0"/>
    <s v="Bad"/>
  </r>
  <r>
    <s v="AE"/>
    <s v="Social_MK~AE_TG"/>
    <s v="Interests"/>
    <s v="EN"/>
    <s v="Video"/>
    <s v="9x16"/>
    <n v="1"/>
    <n v="1"/>
    <n v="0"/>
    <n v="0"/>
    <n v="1"/>
    <n v="0"/>
    <n v="0"/>
    <n v="1"/>
    <n v="1"/>
    <n v="1"/>
    <x v="0"/>
    <n v="0"/>
    <s v="Bad"/>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6">
  <r>
    <x v="0"/>
    <s v="Social_MK~AE_TG"/>
    <s v="Interests"/>
    <x v="0"/>
    <x v="0"/>
    <s v="Video"/>
    <x v="0"/>
    <n v="3456.8"/>
    <n v="4425926"/>
    <n v="1130502"/>
    <n v="20100"/>
    <n v="785957"/>
    <n v="784825"/>
    <n v="9827"/>
    <n v="0.17758024"/>
    <n v="0.17732447401967408"/>
    <n v="0.17732447401967408"/>
    <n v="0.78103429655172729"/>
    <n v="4.5414225181351882E-3"/>
    <n v="1.777971202173902E-2"/>
    <s v="Bad"/>
  </r>
  <r>
    <x v="0"/>
    <s v="Social_MK~AE_TG"/>
    <s v="Interests"/>
    <x v="0"/>
    <x v="0"/>
    <s v="Video"/>
    <x v="0"/>
    <n v="3220.18"/>
    <n v="4652907"/>
    <n v="1314825"/>
    <n v="21330"/>
    <n v="659371"/>
    <n v="646948"/>
    <n v="16916"/>
    <n v="0.14171162000000001"/>
    <n v="0.13904167867528838"/>
    <n v="0.13904167867528838"/>
    <n v="0.69207916685203463"/>
    <n v="4.5842308904949104E-3"/>
    <n v="1.6222691232673551E-2"/>
    <s v="Bad"/>
  </r>
  <r>
    <x v="0"/>
    <s v="Social_MK~AE_TG"/>
    <s v="Interests"/>
    <x v="0"/>
    <x v="0"/>
    <s v="Video"/>
    <x v="0"/>
    <n v="1284.27"/>
    <n v="2811919"/>
    <n v="722421"/>
    <n v="11713"/>
    <n v="175728"/>
    <n v="174581"/>
    <n v="6051"/>
    <n v="6.2493979999999998E-2"/>
    <n v="6.2086070046825675E-2"/>
    <n v="6.2086070046825675E-2"/>
    <n v="0.45672368229668064"/>
    <n v="4.1654827183855584E-3"/>
    <n v="1.621353753559213E-2"/>
    <s v="Bad"/>
  </r>
  <r>
    <x v="0"/>
    <s v="Social_MK~AE_TG"/>
    <s v="Interests"/>
    <x v="0"/>
    <x v="0"/>
    <s v="Video"/>
    <x v="1"/>
    <n v="1178.72"/>
    <n v="2522528"/>
    <n v="671730"/>
    <n v="10794"/>
    <n v="104231"/>
    <n v="103885"/>
    <n v="4540"/>
    <n v="4.1320059999999999E-2"/>
    <n v="4.1182892717147243E-2"/>
    <n v="4.1182892717147243E-2"/>
    <n v="0.46727727105506855"/>
    <n v="4.2790407083687478E-3"/>
    <n v="1.6068956277075611E-2"/>
    <s v="Bad"/>
  </r>
  <r>
    <x v="0"/>
    <s v="Social_MK~AE_TG"/>
    <s v="Interests"/>
    <x v="0"/>
    <x v="1"/>
    <s v="Static"/>
    <x v="1"/>
    <n v="1042.46"/>
    <n v="2684060"/>
    <n v="878461"/>
    <n v="7019"/>
    <n v="4587"/>
    <n v="0"/>
    <n v="0"/>
    <n v="1.7089799999999999E-3"/>
    <n v="0"/>
    <n v="0"/>
    <n v="0.38838923123924207"/>
    <n v="2.6150682175510235E-3"/>
    <n v="7.9901099764246794E-3"/>
    <s v="Bad"/>
  </r>
  <r>
    <x v="0"/>
    <s v="Social_MK~AE_TG"/>
    <s v="CDP"/>
    <x v="1"/>
    <x v="0"/>
    <s v="Video"/>
    <x v="0"/>
    <n v="735.77"/>
    <n v="802794"/>
    <n v="277058"/>
    <n v="3171"/>
    <n v="165518"/>
    <n v="165404"/>
    <n v="2028"/>
    <n v="0.20617742999999999"/>
    <n v="0.20603542129114069"/>
    <n v="0.20603542129114069"/>
    <n v="0.91651158329534099"/>
    <n v="3.9499547829206496E-3"/>
    <n v="1.144525694980834E-2"/>
    <s v="Bad"/>
  </r>
  <r>
    <x v="0"/>
    <s v="Social_MK~AE_TG"/>
    <s v="Interests"/>
    <x v="0"/>
    <x v="0"/>
    <s v="Static"/>
    <x v="1"/>
    <n v="637.48"/>
    <n v="1547845"/>
    <n v="564092"/>
    <n v="4359"/>
    <n v="2913"/>
    <n v="0"/>
    <n v="0"/>
    <n v="1.88197E-3"/>
    <n v="0"/>
    <n v="0"/>
    <n v="0.41185002374268742"/>
    <n v="2.8161734540603227E-3"/>
    <n v="7.7274628961233266E-3"/>
    <s v="Bad"/>
  </r>
  <r>
    <x v="0"/>
    <s v="Social_MK~AE_TG"/>
    <s v="Interests"/>
    <x v="0"/>
    <x v="0"/>
    <s v="Video"/>
    <x v="1"/>
    <n v="458.83"/>
    <n v="976049"/>
    <n v="372537"/>
    <n v="3650"/>
    <n v="35410"/>
    <n v="35111"/>
    <n v="1271"/>
    <n v="3.6278919999999999E-2"/>
    <n v="3.5972579245509194E-2"/>
    <n v="3.5972579245509194E-2"/>
    <n v="0.47008910413309202"/>
    <n v="3.7395663537383881E-3"/>
    <n v="9.7976845252954747E-3"/>
    <s v="Bad"/>
  </r>
  <r>
    <x v="0"/>
    <s v="Social_MK~AE_TG"/>
    <s v="Interests"/>
    <x v="0"/>
    <x v="0"/>
    <s v="Static"/>
    <x v="1"/>
    <n v="279.02999999999997"/>
    <n v="590534"/>
    <n v="274687"/>
    <n v="1373"/>
    <n v="899"/>
    <n v="0"/>
    <n v="0"/>
    <n v="1.52235E-3"/>
    <n v="0"/>
    <n v="0"/>
    <n v="0.4725045467322796"/>
    <n v="2.3250143090829656E-3"/>
    <n v="4.9984163793699741E-3"/>
    <s v="Bad"/>
  </r>
  <r>
    <x v="0"/>
    <s v="Social_MK~AE_TG"/>
    <s v="CDP"/>
    <x v="1"/>
    <x v="1"/>
    <s v="Static"/>
    <x v="1"/>
    <n v="195.9"/>
    <n v="449694"/>
    <n v="180510"/>
    <n v="1077"/>
    <n v="671"/>
    <n v="0"/>
    <n v="0"/>
    <n v="1.4921299999999999E-3"/>
    <n v="0"/>
    <n v="0"/>
    <n v="0.43562956143510922"/>
    <n v="2.3949619074303862E-3"/>
    <n v="5.9664284527173013E-3"/>
    <s v="Bad"/>
  </r>
  <r>
    <x v="0"/>
    <s v="Social_MK~AE_TG"/>
    <s v="Interests"/>
    <x v="0"/>
    <x v="0"/>
    <s v="Video"/>
    <x v="0"/>
    <n v="190.97"/>
    <n v="412121"/>
    <n v="155968"/>
    <n v="1420"/>
    <n v="15440"/>
    <n v="15250"/>
    <n v="482"/>
    <n v="3.7464730000000002E-2"/>
    <n v="3.7003695516607989E-2"/>
    <n v="3.7003695516607989E-2"/>
    <n v="0.46338332674141813"/>
    <n v="3.4455900087595635E-3"/>
    <n v="9.1044316782929839E-3"/>
    <s v="Bad"/>
  </r>
  <r>
    <x v="0"/>
    <s v="Social_MK~AE_TG"/>
    <s v="Interests"/>
    <x v="0"/>
    <x v="1"/>
    <s v="Video"/>
    <x v="1"/>
    <n v="117.06"/>
    <n v="61132"/>
    <n v="41647"/>
    <n v="356"/>
    <n v="47914"/>
    <n v="47586"/>
    <n v="83"/>
    <n v="0.78377936000000004"/>
    <n v="0.7784139239678074"/>
    <n v="0.7784139239678074"/>
    <n v="1.9148727344107832"/>
    <n v="5.8234639795851596E-3"/>
    <n v="8.5480346723653556E-3"/>
    <s v="Bad"/>
  </r>
  <r>
    <x v="0"/>
    <s v="Social_MK~AE_TG"/>
    <s v="Interests"/>
    <x v="0"/>
    <x v="1"/>
    <s v="Video"/>
    <x v="1"/>
    <n v="113.35"/>
    <n v="259216"/>
    <n v="142810"/>
    <n v="915"/>
    <n v="7616"/>
    <n v="7164"/>
    <n v="236"/>
    <n v="2.9380900000000001E-2"/>
    <n v="2.7637182889945065E-2"/>
    <n v="2.7637182889945065E-2"/>
    <n v="0.43728010616628599"/>
    <n v="3.5298746990926485E-3"/>
    <n v="6.4071143477347527E-3"/>
    <s v="Bad"/>
  </r>
  <r>
    <x v="0"/>
    <s v="Social_MK~AE_TG"/>
    <s v="CDP"/>
    <x v="1"/>
    <x v="1"/>
    <s v="Video"/>
    <x v="0"/>
    <n v="101.08"/>
    <n v="232315"/>
    <n v="85118"/>
    <n v="891"/>
    <n v="11599"/>
    <n v="11528"/>
    <n v="580"/>
    <n v="4.9927899999999997E-2"/>
    <n v="4.9622280093838109E-2"/>
    <n v="4.9622280093838109E-2"/>
    <n v="0.43509889589565892"/>
    <n v="3.8353098164130598E-3"/>
    <n v="1.046782114241406E-2"/>
    <s v="Bad"/>
  </r>
  <r>
    <x v="0"/>
    <s v="Social_MK~AE_TG"/>
    <s v="Interests"/>
    <x v="0"/>
    <x v="0"/>
    <s v="Video"/>
    <x v="0"/>
    <n v="100.47"/>
    <n v="219372"/>
    <n v="123660"/>
    <n v="868"/>
    <n v="12352"/>
    <n v="12310"/>
    <n v="264"/>
    <n v="5.6306179999999997E-2"/>
    <n v="5.6114727494848936E-2"/>
    <n v="5.6114727494848936E-2"/>
    <n v="0.45798916908265414"/>
    <n v="3.9567492660868295E-3"/>
    <n v="7.0192463205563643E-3"/>
    <s v="Bad"/>
  </r>
  <r>
    <x v="0"/>
    <s v="Social_MK~AE_TG"/>
    <s v="Interests"/>
    <x v="0"/>
    <x v="1"/>
    <s v="Video"/>
    <x v="1"/>
    <n v="94.43"/>
    <n v="197582"/>
    <n v="89901"/>
    <n v="422"/>
    <n v="3432"/>
    <n v="3422"/>
    <n v="2974"/>
    <n v="1.737E-2"/>
    <n v="1.7319391442540313E-2"/>
    <n v="1.7319391442540313E-2"/>
    <n v="0.47792815134981936"/>
    <n v="2.1358220890566955E-3"/>
    <n v="4.6940523464700061E-3"/>
    <s v="Bad"/>
  </r>
  <r>
    <x v="0"/>
    <s v="Social_MK~AE_TG"/>
    <s v="CDP"/>
    <x v="1"/>
    <x v="0"/>
    <s v="Static"/>
    <x v="1"/>
    <n v="90.35"/>
    <n v="202377"/>
    <n v="100097"/>
    <n v="536"/>
    <n v="351"/>
    <n v="0"/>
    <n v="0"/>
    <n v="1.7343899999999999E-3"/>
    <n v="0"/>
    <n v="0"/>
    <n v="0.44644401290660496"/>
    <n v="2.6485223123180993E-3"/>
    <n v="5.354805838336813E-3"/>
    <s v="Bad"/>
  </r>
  <r>
    <x v="0"/>
    <s v="Social_MK~AE_TG"/>
    <s v="Interests"/>
    <x v="0"/>
    <x v="0"/>
    <s v="Static"/>
    <x v="1"/>
    <n v="90.03"/>
    <n v="198163"/>
    <n v="98974"/>
    <n v="533"/>
    <n v="347"/>
    <n v="0"/>
    <n v="0"/>
    <n v="1.7510799999999999E-3"/>
    <n v="0"/>
    <n v="0"/>
    <n v="0.45432295635411257"/>
    <n v="2.6897049398727311E-3"/>
    <n v="5.3852526926263461E-3"/>
    <s v="Bad"/>
  </r>
  <r>
    <x v="0"/>
    <s v="Social_MK~AE_TG"/>
    <s v="Interests"/>
    <x v="0"/>
    <x v="1"/>
    <s v="Video"/>
    <x v="0"/>
    <n v="87.57"/>
    <n v="117572"/>
    <n v="66674"/>
    <n v="431"/>
    <n v="20633"/>
    <n v="20385"/>
    <n v="491"/>
    <n v="0.17549245999999999"/>
    <n v="0.17338311842955806"/>
    <n v="0.17338311842955806"/>
    <n v="0.74482019528459154"/>
    <n v="3.6658388051576908E-3"/>
    <n v="6.4642889282178961E-3"/>
    <s v="Bad"/>
  </r>
  <r>
    <x v="0"/>
    <s v="Social_MK~AE_TG"/>
    <s v="Interests"/>
    <x v="0"/>
    <x v="1"/>
    <s v="Video"/>
    <x v="0"/>
    <n v="85.96"/>
    <n v="202733"/>
    <n v="112957"/>
    <n v="576"/>
    <n v="8479"/>
    <n v="8255"/>
    <n v="244"/>
    <n v="4.1823480000000003E-2"/>
    <n v="4.0718580596153561E-2"/>
    <n v="4.0718580596153561E-2"/>
    <n v="0.42400595857605811"/>
    <n v="2.8411753389926651E-3"/>
    <n v="5.0992855688447806E-3"/>
    <s v="Bad"/>
  </r>
  <r>
    <x v="0"/>
    <s v="Social_MK~AE_TG"/>
    <s v="Interests"/>
    <x v="0"/>
    <x v="0"/>
    <s v="Video"/>
    <x v="1"/>
    <n v="82.1"/>
    <n v="89510"/>
    <n v="39760"/>
    <n v="442"/>
    <n v="18371"/>
    <n v="18130"/>
    <n v="423"/>
    <n v="0.20523964"/>
    <n v="0.20254720143000782"/>
    <n v="0.20254720143000782"/>
    <n v="0.91721595352474583"/>
    <n v="4.937995754664283E-3"/>
    <n v="1.111670020120724E-2"/>
    <s v="Bad"/>
  </r>
  <r>
    <x v="0"/>
    <s v="Social_MK~AE_TG"/>
    <s v="Interests"/>
    <x v="0"/>
    <x v="0"/>
    <s v="Video"/>
    <x v="1"/>
    <n v="69.31"/>
    <n v="149795"/>
    <n v="85233"/>
    <n v="456"/>
    <n v="4250"/>
    <n v="4178"/>
    <n v="103"/>
    <n v="2.8372109999999999E-2"/>
    <n v="2.7891451650589139E-2"/>
    <n v="2.7891451650589139E-2"/>
    <n v="0.46269902199672891"/>
    <n v="3.044160352481725E-3"/>
    <n v="5.3500404772799269E-3"/>
    <s v="Bad"/>
  </r>
  <r>
    <x v="0"/>
    <s v="Social_MK~AE_TG"/>
    <s v="Interests"/>
    <x v="0"/>
    <x v="1"/>
    <s v="Video"/>
    <x v="0"/>
    <n v="68"/>
    <n v="160901"/>
    <n v="78831"/>
    <n v="503"/>
    <n v="6789"/>
    <n v="6557"/>
    <n v="300"/>
    <n v="4.2193649999999999E-2"/>
    <n v="4.0751766614253483E-2"/>
    <n v="4.0751766614253483E-2"/>
    <n v="0.4226201204467343"/>
    <n v="3.1261458909515789E-3"/>
    <n v="6.3807385419441592E-3"/>
    <s v="Bad"/>
  </r>
  <r>
    <x v="0"/>
    <s v="Social_MK~AE_TG"/>
    <s v="Interests"/>
    <x v="0"/>
    <x v="1"/>
    <s v="Video"/>
    <x v="1"/>
    <n v="55.1"/>
    <n v="123008"/>
    <n v="67698"/>
    <n v="403"/>
    <n v="2713"/>
    <n v="2615"/>
    <n v="90"/>
    <n v="2.2055479999999999E-2"/>
    <n v="2.1258779916753383E-2"/>
    <n v="2.1258779916753383E-2"/>
    <n v="0.44793834547346517"/>
    <n v="3.276209677419355E-3"/>
    <n v="5.9529085054211353E-3"/>
    <s v="Bad"/>
  </r>
  <r>
    <x v="0"/>
    <s v="Social_MK~AE_TG"/>
    <s v="Interests"/>
    <x v="0"/>
    <x v="1"/>
    <s v="Video"/>
    <x v="0"/>
    <n v="54.4"/>
    <n v="72241"/>
    <n v="37856"/>
    <n v="198"/>
    <n v="13750"/>
    <n v="13629"/>
    <n v="165"/>
    <n v="0.19033512999999999"/>
    <n v="0.18866017912265887"/>
    <n v="0.18866017912265887"/>
    <n v="0.75303498013593384"/>
    <n v="2.7408258468182888E-3"/>
    <n v="5.2303465765004224E-3"/>
    <s v="Bad"/>
  </r>
  <r>
    <x v="0"/>
    <s v="Social_MK~AE_TG"/>
    <s v="Interests"/>
    <x v="0"/>
    <x v="0"/>
    <s v="Video"/>
    <x v="1"/>
    <n v="48.55"/>
    <n v="109820"/>
    <n v="46720"/>
    <n v="240"/>
    <n v="1645"/>
    <n v="1571"/>
    <n v="1370"/>
    <n v="1.4979060000000001E-2"/>
    <n v="1.4305226734656711E-2"/>
    <n v="1.4305226734656711E-2"/>
    <n v="0.44208705153888178"/>
    <n v="2.1853942815516299E-3"/>
    <n v="5.1369863013698627E-3"/>
    <s v="Bad"/>
  </r>
  <r>
    <x v="0"/>
    <s v="Social_MK~AE_TG"/>
    <s v="Interests"/>
    <x v="0"/>
    <x v="1"/>
    <s v="Static"/>
    <x v="1"/>
    <n v="46.65"/>
    <n v="111983"/>
    <n v="69551"/>
    <n v="246"/>
    <n v="158"/>
    <n v="0"/>
    <n v="0"/>
    <n v="1.4109299999999999E-3"/>
    <n v="0"/>
    <n v="0"/>
    <n v="0.41658108820088763"/>
    <n v="2.1967620085191503E-3"/>
    <n v="3.5369728688300671E-3"/>
    <s v="Bad"/>
  </r>
  <r>
    <x v="0"/>
    <s v="Social_MK~AE_TG"/>
    <s v="CDP"/>
    <x v="1"/>
    <x v="1"/>
    <s v="Video"/>
    <x v="1"/>
    <n v="42.98"/>
    <n v="98096"/>
    <n v="44213"/>
    <n v="419"/>
    <n v="3588"/>
    <n v="3530"/>
    <n v="189"/>
    <n v="3.6576409999999997E-2"/>
    <n v="3.5985157396835755E-2"/>
    <n v="3.5985157396835755E-2"/>
    <n v="0.43814222802152991"/>
    <n v="4.2713260479530259E-3"/>
    <n v="9.4768507000203561E-3"/>
    <s v="Bad"/>
  </r>
  <r>
    <x v="0"/>
    <s v="Social_MK~AE_TG"/>
    <s v="Interests"/>
    <x v="0"/>
    <x v="1"/>
    <s v="Carousel"/>
    <x v="1"/>
    <n v="38.81"/>
    <n v="80911"/>
    <n v="50961"/>
    <n v="140"/>
    <n v="2654"/>
    <n v="2584"/>
    <n v="2642"/>
    <n v="3.2801469999999999E-2"/>
    <n v="3.1936325097947124E-2"/>
    <n v="3.1936325097947124E-2"/>
    <n v="0.47966283941614862"/>
    <n v="1.7302962514367639E-3"/>
    <n v="2.7471988383273478E-3"/>
    <s v="Bad"/>
  </r>
  <r>
    <x v="0"/>
    <s v="Social_MK~AE_TG"/>
    <s v="Interests"/>
    <x v="0"/>
    <x v="1"/>
    <s v="Video"/>
    <x v="1"/>
    <n v="36.69"/>
    <n v="80494"/>
    <n v="52737"/>
    <n v="261"/>
    <n v="2518"/>
    <n v="2454"/>
    <n v="141"/>
    <n v="3.1281829999999997E-2"/>
    <n v="3.0486744353616417E-2"/>
    <n v="3.0486744353616417E-2"/>
    <n v="0.45581037095932614"/>
    <n v="3.2424777002012573E-3"/>
    <n v="4.9490869787815004E-3"/>
    <s v="Bad"/>
  </r>
  <r>
    <x v="0"/>
    <s v="Social_MK~AE_TG"/>
    <s v="CDP"/>
    <x v="1"/>
    <x v="0"/>
    <s v="Static"/>
    <x v="1"/>
    <n v="33.479999999999997"/>
    <n v="67488"/>
    <n v="42864"/>
    <n v="145"/>
    <n v="82"/>
    <n v="0"/>
    <n v="0"/>
    <n v="1.21503E-3"/>
    <n v="0"/>
    <n v="0"/>
    <n v="0.49608819345661442"/>
    <n v="2.148530109056425E-3"/>
    <n v="3.3827920865994779E-3"/>
    <s v="Bad"/>
  </r>
  <r>
    <x v="0"/>
    <s v="Social_MK~AE_TG"/>
    <s v="Interests"/>
    <x v="0"/>
    <x v="1"/>
    <s v="Static"/>
    <x v="1"/>
    <n v="31.35"/>
    <n v="74935"/>
    <n v="41111"/>
    <n v="177"/>
    <n v="124"/>
    <n v="0"/>
    <n v="0"/>
    <n v="1.6547700000000001E-3"/>
    <n v="0"/>
    <n v="0"/>
    <n v="0.41836258090344969"/>
    <n v="2.3620471074931606E-3"/>
    <n v="4.3054170416676803E-3"/>
    <s v="Bad"/>
  </r>
  <r>
    <x v="0"/>
    <s v="Social_MK~AE_TG"/>
    <s v="Interests"/>
    <x v="0"/>
    <x v="0"/>
    <s v="Video"/>
    <x v="1"/>
    <n v="28.83"/>
    <n v="32039"/>
    <n v="24664"/>
    <n v="199"/>
    <n v="7506"/>
    <n v="7350"/>
    <n v="87"/>
    <n v="0.23427697"/>
    <n v="0.22940790911077125"/>
    <n v="0.22940790911077125"/>
    <n v="0.89984081900184143"/>
    <n v="6.2111801242236021E-3"/>
    <n v="8.0684398313331171E-3"/>
    <s v="Bad"/>
  </r>
  <r>
    <x v="0"/>
    <s v="Social_MK~AE_TG"/>
    <s v="Interests"/>
    <x v="0"/>
    <x v="0"/>
    <s v="Video"/>
    <x v="2"/>
    <n v="28.78"/>
    <n v="59574"/>
    <n v="52224"/>
    <n v="33"/>
    <n v="3130"/>
    <n v="3099"/>
    <n v="69"/>
    <n v="5.2539700000000002E-2"/>
    <n v="5.2019337294793029E-2"/>
    <n v="5.2019337294793029E-2"/>
    <n v="0.48309665290227277"/>
    <n v="5.5393292375868666E-4"/>
    <n v="6.3189338235294121E-4"/>
    <s v="Bad"/>
  </r>
  <r>
    <x v="0"/>
    <s v="Social_MK~AE_TG"/>
    <s v="Interests"/>
    <x v="0"/>
    <x v="0"/>
    <s v="Video"/>
    <x v="1"/>
    <n v="27.15"/>
    <n v="11580"/>
    <n v="9136"/>
    <n v="85"/>
    <n v="5518"/>
    <n v="5444"/>
    <n v="16"/>
    <n v="0.47651123000000001"/>
    <n v="0.47012089810017271"/>
    <n v="0.47012089810017271"/>
    <n v="2.3445595854922279"/>
    <n v="7.3402417962003452E-3"/>
    <n v="9.3038528896672509E-3"/>
    <s v="Bad"/>
  </r>
  <r>
    <x v="0"/>
    <s v="Social_MK~AE_TG"/>
    <s v="CDP"/>
    <x v="1"/>
    <x v="1"/>
    <s v="Video"/>
    <x v="0"/>
    <n v="27.12"/>
    <n v="56641"/>
    <n v="25511"/>
    <n v="158"/>
    <n v="2296"/>
    <n v="2259"/>
    <n v="94"/>
    <n v="4.0536009999999997E-2"/>
    <n v="3.9882770431313004E-2"/>
    <n v="3.9882770431313004E-2"/>
    <n v="0.47880510584205788"/>
    <n v="2.7894987729736409E-3"/>
    <n v="6.1934067657089097E-3"/>
    <s v="Bad"/>
  </r>
  <r>
    <x v="0"/>
    <s v="Social_MK~AE_TG"/>
    <s v="Interests"/>
    <x v="0"/>
    <x v="1"/>
    <s v="Video"/>
    <x v="0"/>
    <n v="25.69"/>
    <n v="55864"/>
    <n v="34601"/>
    <n v="122"/>
    <n v="1732"/>
    <n v="1703"/>
    <n v="33"/>
    <n v="3.1003869999999999E-2"/>
    <n v="3.0484748675354431E-2"/>
    <n v="3.0484748675354431E-2"/>
    <n v="0.45986681941858804"/>
    <n v="2.1838751253043104E-3"/>
    <n v="3.5259096557902951E-3"/>
    <s v="Bad"/>
  </r>
  <r>
    <x v="0"/>
    <s v="Social_MK~AE_TG"/>
    <s v="CDP"/>
    <x v="1"/>
    <x v="0"/>
    <s v="Static"/>
    <x v="1"/>
    <n v="25.24"/>
    <n v="58768"/>
    <n v="35632"/>
    <n v="116"/>
    <n v="73"/>
    <n v="0"/>
    <n v="0"/>
    <n v="1.2421699999999999E-3"/>
    <n v="0"/>
    <n v="0"/>
    <n v="0.42948543424993191"/>
    <n v="1.9738633269806697E-3"/>
    <n v="3.2555006735518629E-3"/>
    <s v="Bad"/>
  </r>
  <r>
    <x v="0"/>
    <s v="Social_MK~AE_TG"/>
    <s v="Interests"/>
    <x v="0"/>
    <x v="0"/>
    <s v="Video"/>
    <x v="2"/>
    <n v="23.43"/>
    <n v="47723"/>
    <n v="41544"/>
    <n v="27"/>
    <n v="2080"/>
    <n v="2052"/>
    <n v="25"/>
    <n v="4.3584850000000001E-2"/>
    <n v="4.2998135071139705E-2"/>
    <n v="4.2998135071139705E-2"/>
    <n v="0.49095823816608342"/>
    <n v="5.6576493514657504E-4"/>
    <n v="6.499133448873484E-4"/>
    <s v="Bad"/>
  </r>
  <r>
    <x v="0"/>
    <s v="Social_MK~AE_TG"/>
    <s v="Interests"/>
    <x v="0"/>
    <x v="1"/>
    <s v="Video"/>
    <x v="1"/>
    <n v="23.4"/>
    <n v="14905"/>
    <n v="12480"/>
    <n v="71"/>
    <n v="3945"/>
    <n v="3887"/>
    <n v="37"/>
    <n v="0.26467627999999999"/>
    <n v="0.26078497148607849"/>
    <n v="0.26078497148607849"/>
    <n v="1.5699429721569942"/>
    <n v="4.7635021804763502E-3"/>
    <n v="5.6891025641025638E-3"/>
    <s v="Bad"/>
  </r>
  <r>
    <x v="0"/>
    <s v="Social_MK~AE_TG"/>
    <s v="CDP"/>
    <x v="1"/>
    <x v="0"/>
    <s v="Video"/>
    <x v="1"/>
    <n v="22.01"/>
    <n v="47295"/>
    <n v="23105"/>
    <n v="209"/>
    <n v="1837"/>
    <n v="1796"/>
    <n v="105"/>
    <n v="3.8841319999999999E-2"/>
    <n v="3.797441590020087E-2"/>
    <n v="3.797441590020087E-2"/>
    <n v="0.46537688973464431"/>
    <n v="4.4190717834866264E-3"/>
    <n v="9.0456611123133513E-3"/>
    <s v="Bad"/>
  </r>
  <r>
    <x v="0"/>
    <s v="Social_MK~AE_TG"/>
    <s v="CDP"/>
    <x v="1"/>
    <x v="1"/>
    <s v="Video"/>
    <x v="0"/>
    <n v="20.8"/>
    <n v="47359"/>
    <n v="21016"/>
    <n v="174"/>
    <n v="2073"/>
    <n v="2041"/>
    <n v="80"/>
    <n v="4.3772039999999998E-2"/>
    <n v="4.3096349162777929E-2"/>
    <n v="4.3096349162777929E-2"/>
    <n v="0.43919846280538022"/>
    <n v="3.6740640638526995E-3"/>
    <n v="8.2794061667301102E-3"/>
    <s v="Bad"/>
  </r>
  <r>
    <x v="0"/>
    <s v="Social_MK~AE_TG"/>
    <s v="Interests"/>
    <x v="0"/>
    <x v="1"/>
    <s v="Video"/>
    <x v="1"/>
    <n v="20.49"/>
    <n v="14744"/>
    <n v="11188"/>
    <n v="100"/>
    <n v="7442"/>
    <n v="7359"/>
    <n v="36"/>
    <n v="0.50474768999999997"/>
    <n v="0.49911828540423225"/>
    <n v="0.49911828540423225"/>
    <n v="1.3897178513293542"/>
    <n v="6.7824199674443838E-3"/>
    <n v="8.9381480157311403E-3"/>
    <s v="Bad"/>
  </r>
  <r>
    <x v="0"/>
    <s v="Social_MK~AE_TG"/>
    <s v="Interests"/>
    <x v="0"/>
    <x v="0"/>
    <s v="Video"/>
    <x v="0"/>
    <n v="18.239999999999998"/>
    <n v="22386"/>
    <n v="14188"/>
    <n v="73"/>
    <n v="3778"/>
    <n v="3736"/>
    <n v="26"/>
    <n v="0.16876619000000001"/>
    <n v="0.16689002054855714"/>
    <n v="0.16689002054855714"/>
    <n v="0.81479496113642447"/>
    <n v="3.2609666756008219E-3"/>
    <n v="5.1451931209472793E-3"/>
    <s v="Bad"/>
  </r>
  <r>
    <x v="0"/>
    <s v="Social_MK~AE_TG"/>
    <s v="CDP"/>
    <x v="1"/>
    <x v="1"/>
    <s v="Static"/>
    <x v="1"/>
    <n v="17.09"/>
    <n v="41863"/>
    <n v="26215"/>
    <n v="85"/>
    <n v="45"/>
    <n v="0"/>
    <n v="0"/>
    <n v="1.07493E-3"/>
    <n v="0"/>
    <n v="0"/>
    <n v="0.4082363901297088"/>
    <n v="2.0304326015813485E-3"/>
    <n v="3.242418462712188E-3"/>
    <s v="Bad"/>
  </r>
  <r>
    <x v="0"/>
    <s v="Social_MK~AE_TG"/>
    <s v="CDP"/>
    <x v="1"/>
    <x v="0"/>
    <s v="Video"/>
    <x v="0"/>
    <n v="16.329999999999998"/>
    <n v="41138"/>
    <n v="23439"/>
    <n v="127"/>
    <n v="1802"/>
    <n v="1737"/>
    <n v="87"/>
    <n v="4.380378E-2"/>
    <n v="4.2223734746463126E-2"/>
    <n v="4.2223734746463126E-2"/>
    <n v="0.39695658515241378"/>
    <n v="3.0871700131265495E-3"/>
    <n v="5.4183198941934376E-3"/>
    <s v="Bad"/>
  </r>
  <r>
    <x v="0"/>
    <s v="Social_MK~AE_TG"/>
    <s v="CDP"/>
    <x v="1"/>
    <x v="1"/>
    <s v="Static"/>
    <x v="1"/>
    <n v="15.85"/>
    <n v="36396"/>
    <n v="24736"/>
    <n v="94"/>
    <n v="49"/>
    <n v="0"/>
    <n v="0"/>
    <n v="1.3462999999999999E-3"/>
    <n v="0"/>
    <n v="0"/>
    <n v="0.43548741619958237"/>
    <n v="2.5827013957577757E-3"/>
    <n v="3.8001293661060801E-3"/>
    <s v="Bad"/>
  </r>
  <r>
    <x v="0"/>
    <s v="Social_MK~AE_TG"/>
    <s v="Interests"/>
    <x v="0"/>
    <x v="0"/>
    <s v="Video"/>
    <x v="2"/>
    <n v="13.6"/>
    <n v="29295"/>
    <n v="18427"/>
    <n v="4"/>
    <n v="651"/>
    <n v="644"/>
    <n v="4"/>
    <n v="2.2222220000000001E-2"/>
    <n v="2.1983273596176821E-2"/>
    <n v="2.1983273596176821E-2"/>
    <n v="0.46424304488820617"/>
    <n v="1.3654207202594298E-4"/>
    <n v="2.1707277364736531E-4"/>
    <s v="Bad"/>
  </r>
  <r>
    <x v="0"/>
    <s v="Social_MK~AE_TG"/>
    <s v="CDP"/>
    <x v="1"/>
    <x v="0"/>
    <s v="Video"/>
    <x v="1"/>
    <n v="12.17"/>
    <n v="24467"/>
    <n v="12979"/>
    <n v="35"/>
    <n v="455"/>
    <n v="448"/>
    <n v="380"/>
    <n v="1.8596479999999999E-2"/>
    <n v="1.8310377242816856E-2"/>
    <n v="1.8310377242816856E-2"/>
    <n v="0.49740466751134177"/>
    <n v="1.4304982220950668E-3"/>
    <n v="2.6966638415902612E-3"/>
    <s v="Bad"/>
  </r>
  <r>
    <x v="0"/>
    <s v="Social_MK~AE_TG"/>
    <s v="Interests"/>
    <x v="0"/>
    <x v="1"/>
    <s v="Video"/>
    <x v="2"/>
    <n v="11.42"/>
    <n v="24891"/>
    <n v="18592"/>
    <n v="7"/>
    <n v="752"/>
    <n v="741"/>
    <n v="4"/>
    <n v="3.0211720000000001E-2"/>
    <n v="2.976979631191997E-2"/>
    <n v="2.976979631191997E-2"/>
    <n v="0.45880036961150616"/>
    <n v="2.8122614599654491E-4"/>
    <n v="3.7650602409638562E-4"/>
    <s v="Bad"/>
  </r>
  <r>
    <x v="0"/>
    <s v="Social_MK~AE_TG"/>
    <s v="Interests"/>
    <x v="0"/>
    <x v="1"/>
    <s v="Video"/>
    <x v="0"/>
    <n v="10.29"/>
    <n v="12246"/>
    <n v="7452"/>
    <n v="31"/>
    <n v="2667"/>
    <n v="2643"/>
    <n v="10"/>
    <n v="0.21778539999999999"/>
    <n v="0.21582557569818717"/>
    <n v="0.21582557569818717"/>
    <n v="0.8402743753062224"/>
    <n v="2.5314388371713214E-3"/>
    <n v="4.1599570585077834E-3"/>
    <s v="Bad"/>
  </r>
  <r>
    <x v="0"/>
    <s v="Social_MK~AE_TG"/>
    <s v="Interests"/>
    <x v="0"/>
    <x v="1"/>
    <s v="Video"/>
    <x v="2"/>
    <n v="9.77"/>
    <n v="21892"/>
    <n v="13223"/>
    <n v="4"/>
    <n v="686"/>
    <n v="674"/>
    <n v="17"/>
    <n v="3.133565E-2"/>
    <n v="3.0787502283939339E-2"/>
    <n v="3.0787502283939339E-2"/>
    <n v="0.4462817467568061"/>
    <n v="1.8271514708569341E-4"/>
    <n v="3.0250321409664978E-4"/>
    <s v="Bad"/>
  </r>
  <r>
    <x v="0"/>
    <s v="Social_MK~AE_TG"/>
    <s v="CDP"/>
    <x v="1"/>
    <x v="0"/>
    <s v="Video"/>
    <x v="1"/>
    <n v="9.68"/>
    <n v="17779"/>
    <n v="11071"/>
    <n v="42"/>
    <n v="613"/>
    <n v="605"/>
    <n v="18"/>
    <n v="3.4478880000000003E-2"/>
    <n v="3.4028910512402269E-2"/>
    <n v="3.4028910512402269E-2"/>
    <n v="0.5444625681984363"/>
    <n v="2.3623375892907364E-3"/>
    <n v="3.7936952398157351E-3"/>
    <s v="Bad"/>
  </r>
  <r>
    <x v="0"/>
    <s v="Social_MK~AE_TG"/>
    <s v="CDP"/>
    <x v="1"/>
    <x v="0"/>
    <s v="Video"/>
    <x v="0"/>
    <n v="9.34"/>
    <n v="19209"/>
    <n v="11469"/>
    <n v="45"/>
    <n v="957"/>
    <n v="937"/>
    <n v="28"/>
    <n v="4.9820400000000001E-2"/>
    <n v="4.8779218074860742E-2"/>
    <n v="4.8779218074860742E-2"/>
    <n v="0.48623041282732055"/>
    <n v="2.342651881930345E-3"/>
    <n v="3.9236201935652628E-3"/>
    <s v="Bad"/>
  </r>
  <r>
    <x v="0"/>
    <s v="Social_MK~AE_TG"/>
    <s v="CDP"/>
    <x v="1"/>
    <x v="1"/>
    <s v="Video"/>
    <x v="0"/>
    <n v="9.09"/>
    <n v="11358"/>
    <n v="7920"/>
    <n v="41"/>
    <n v="2266"/>
    <n v="2243"/>
    <n v="65"/>
    <n v="0.19950696000000001"/>
    <n v="0.19748195104771968"/>
    <n v="0.19748195104771968"/>
    <n v="0.80031695721077645"/>
    <n v="3.609790456066209E-3"/>
    <n v="5.1767676767676771E-3"/>
    <s v="Bad"/>
  </r>
  <r>
    <x v="0"/>
    <s v="Social_MK~AE_TG"/>
    <s v="CDP"/>
    <x v="1"/>
    <x v="1"/>
    <s v="Video"/>
    <x v="0"/>
    <n v="8.16"/>
    <n v="8494"/>
    <n v="4974"/>
    <n v="30"/>
    <n v="1810"/>
    <n v="1797"/>
    <n v="31"/>
    <n v="0.21309159"/>
    <n v="0.21156110195432071"/>
    <n v="0.21156110195432071"/>
    <n v="0.96067812573581357"/>
    <n v="3.5319048740287263E-3"/>
    <n v="6.0313630880579009E-3"/>
    <s v="Bad"/>
  </r>
  <r>
    <x v="0"/>
    <s v="Social_MK~AE_TG"/>
    <s v="CDP"/>
    <x v="1"/>
    <x v="1"/>
    <s v="Video"/>
    <x v="1"/>
    <n v="7.95"/>
    <n v="16456"/>
    <n v="10435"/>
    <n v="49"/>
    <n v="366"/>
    <n v="353"/>
    <n v="15"/>
    <n v="2.2241130000000001E-2"/>
    <n v="2.1451142440447254E-2"/>
    <n v="2.1451142440447254E-2"/>
    <n v="0.48310646572678656"/>
    <n v="2.9776373359261059E-3"/>
    <n v="4.6957355055103024E-3"/>
    <s v="Bad"/>
  </r>
  <r>
    <x v="0"/>
    <s v="Social_MK~AE_TG"/>
    <s v="CDP"/>
    <x v="1"/>
    <x v="1"/>
    <s v="Video"/>
    <x v="1"/>
    <n v="7.27"/>
    <n v="14376"/>
    <n v="9954"/>
    <n v="34"/>
    <n v="441"/>
    <n v="422"/>
    <n v="21"/>
    <n v="3.0676129999999999E-2"/>
    <n v="2.9354479688369503E-2"/>
    <n v="2.9354479688369503E-2"/>
    <n v="0.50570395102949361"/>
    <n v="2.3650528658875902E-3"/>
    <n v="3.41571227647177E-3"/>
    <s v="Bad"/>
  </r>
  <r>
    <x v="0"/>
    <s v="Social_MK~AE_TG"/>
    <s v="CDP"/>
    <x v="1"/>
    <x v="0"/>
    <s v="Video"/>
    <x v="1"/>
    <n v="6.71"/>
    <n v="13427"/>
    <n v="8952"/>
    <n v="35"/>
    <n v="462"/>
    <n v="451"/>
    <n v="20"/>
    <n v="3.4408279999999999E-2"/>
    <n v="3.358903701496984E-2"/>
    <n v="3.358903701496984E-2"/>
    <n v="0.49973933119833169"/>
    <n v="2.6066880166828034E-3"/>
    <n v="3.9097408400357459E-3"/>
    <s v="Bad"/>
  </r>
  <r>
    <x v="0"/>
    <s v="Social_MK~AE_TG"/>
    <s v="CDP"/>
    <x v="1"/>
    <x v="0"/>
    <s v="Video"/>
    <x v="0"/>
    <n v="6.57"/>
    <n v="13881"/>
    <n v="8550"/>
    <n v="40"/>
    <n v="597"/>
    <n v="582"/>
    <n v="20"/>
    <n v="4.300843E-2"/>
    <n v="4.1927814998919385E-2"/>
    <n v="4.1927814998919385E-2"/>
    <n v="0.47330883942079105"/>
    <n v="2.8816367696851814E-3"/>
    <n v="4.6783625730994153E-3"/>
    <s v="Bad"/>
  </r>
  <r>
    <x v="0"/>
    <s v="Social_MK~AE_TG"/>
    <s v="CDP"/>
    <x v="1"/>
    <x v="0"/>
    <s v="Video"/>
    <x v="0"/>
    <n v="6.42"/>
    <n v="4023"/>
    <n v="3096"/>
    <n v="24"/>
    <n v="1486"/>
    <n v="1465"/>
    <n v="22"/>
    <n v="0.36937608999999999"/>
    <n v="0.364156102411136"/>
    <n v="0.364156102411136"/>
    <n v="1.5958240119313944"/>
    <n v="5.9656972408650257E-3"/>
    <n v="7.7519379844961239E-3"/>
    <s v="Bad"/>
  </r>
  <r>
    <x v="0"/>
    <s v="Social_MK~AE_TG"/>
    <s v="Interests"/>
    <x v="0"/>
    <x v="0"/>
    <s v="Carousel"/>
    <x v="1"/>
    <n v="6.07"/>
    <n v="12336"/>
    <n v="9862"/>
    <n v="17"/>
    <n v="398"/>
    <n v="390"/>
    <n v="400"/>
    <n v="3.226329E-2"/>
    <n v="3.1614785992217898E-2"/>
    <n v="3.1614785992217898E-2"/>
    <n v="0.49205577172503245"/>
    <n v="1.3780804150453957E-3"/>
    <n v="1.7237882782397079E-3"/>
    <s v="Bad"/>
  </r>
  <r>
    <x v="0"/>
    <s v="Social_MK~AE_TG"/>
    <s v="CDP"/>
    <x v="1"/>
    <x v="1"/>
    <s v="Video"/>
    <x v="1"/>
    <n v="5.22"/>
    <n v="10316"/>
    <n v="7006"/>
    <n v="18"/>
    <n v="214"/>
    <n v="207"/>
    <n v="172"/>
    <n v="2.0744470000000001E-2"/>
    <n v="2.006591702210159E-2"/>
    <n v="2.006591702210159E-2"/>
    <n v="0.50601008142690962"/>
    <n v="1.7448623497479643E-3"/>
    <n v="2.5692263773908078E-3"/>
    <s v="Bad"/>
  </r>
  <r>
    <x v="0"/>
    <s v="Social_MK~AE_TG"/>
    <s v="CDP"/>
    <x v="1"/>
    <x v="1"/>
    <s v="Video"/>
    <x v="1"/>
    <n v="4.91"/>
    <n v="2801"/>
    <n v="2420"/>
    <n v="15"/>
    <n v="2075"/>
    <n v="2063"/>
    <n v="6"/>
    <n v="0.74080685000000002"/>
    <n v="0.73652267047483044"/>
    <n v="0.73652267047483044"/>
    <n v="1.752945376651196"/>
    <n v="5.3552302749018208E-3"/>
    <n v="6.1983471074380167E-3"/>
    <s v="Bad"/>
  </r>
  <r>
    <x v="0"/>
    <s v="Social_MK~AE_TG"/>
    <s v="CDP"/>
    <x v="1"/>
    <x v="1"/>
    <s v="Video"/>
    <x v="2"/>
    <n v="4.09"/>
    <n v="9418"/>
    <n v="7266"/>
    <n v="4"/>
    <n v="380"/>
    <n v="375"/>
    <n v="10"/>
    <n v="4.0348269999999999E-2"/>
    <n v="3.981737099171799E-2"/>
    <n v="3.981737099171799E-2"/>
    <n v="0.43427479294967081"/>
    <n v="4.2471862391165854E-4"/>
    <n v="5.5050922102945225E-4"/>
    <s v="Bad"/>
  </r>
  <r>
    <x v="0"/>
    <s v="Social_MK~AE_TG"/>
    <s v="CDP"/>
    <x v="1"/>
    <x v="0"/>
    <s v="Video"/>
    <x v="2"/>
    <n v="3.58"/>
    <n v="7800"/>
    <n v="5814"/>
    <n v="1"/>
    <n v="202"/>
    <n v="199"/>
    <n v="1"/>
    <n v="2.5897440000000001E-2"/>
    <n v="2.5512820512820514E-2"/>
    <n v="2.5512820512820514E-2"/>
    <n v="0.45897435897435901"/>
    <n v="1.2820512820512821E-4"/>
    <n v="1.7199862401100791E-4"/>
    <s v="Bad"/>
  </r>
  <r>
    <x v="0"/>
    <s v="Social_MK~AE_TG"/>
    <s v="CDP"/>
    <x v="1"/>
    <x v="0"/>
    <s v="Video"/>
    <x v="2"/>
    <n v="3.45"/>
    <n v="8653"/>
    <n v="7593"/>
    <n v="5"/>
    <n v="479"/>
    <n v="477"/>
    <n v="12"/>
    <n v="5.5356519999999999E-2"/>
    <n v="5.5125390038137059E-2"/>
    <n v="5.5125390038137059E-2"/>
    <n v="0.39870565121923035"/>
    <n v="5.7783427712931933E-4"/>
    <n v="6.5850125115237714E-4"/>
    <s v="Bad"/>
  </r>
  <r>
    <x v="0"/>
    <s v="Social_MK~AE_TG"/>
    <s v="CDP"/>
    <x v="1"/>
    <x v="1"/>
    <s v="Video"/>
    <x v="2"/>
    <n v="2.99"/>
    <n v="6369"/>
    <n v="4957"/>
    <n v="4"/>
    <n v="216"/>
    <n v="213"/>
    <n v="3"/>
    <n v="3.3914270000000003E-2"/>
    <n v="3.344324069712671E-2"/>
    <n v="3.344324069712671E-2"/>
    <n v="0.46946145391741251"/>
    <n v="6.2804207881928084E-4"/>
    <n v="8.0693968125882594E-4"/>
    <s v="Bad"/>
  </r>
  <r>
    <x v="0"/>
    <s v="Social_MK~AE_TG"/>
    <s v="Interests"/>
    <x v="0"/>
    <x v="1"/>
    <s v="Video"/>
    <x v="2"/>
    <n v="2.8"/>
    <n v="6173"/>
    <n v="4605"/>
    <n v="0"/>
    <n v="133"/>
    <n v="133"/>
    <n v="0"/>
    <n v="2.1545439999999999E-2"/>
    <n v="2.1545439818564719E-2"/>
    <n v="2.1545439818564719E-2"/>
    <n v="0.45358820670662559"/>
    <n v="0"/>
    <n v="0"/>
    <s v="Bad"/>
  </r>
  <r>
    <x v="0"/>
    <s v="Social_MK~AE_TG"/>
    <s v="CDP"/>
    <x v="1"/>
    <x v="0"/>
    <s v="Video"/>
    <x v="1"/>
    <n v="2.79"/>
    <n v="1784"/>
    <n v="1601"/>
    <n v="13"/>
    <n v="748"/>
    <n v="737"/>
    <n v="3"/>
    <n v="0.41928251"/>
    <n v="0.41311659192825112"/>
    <n v="0.41311659192825112"/>
    <n v="1.5639013452914798"/>
    <n v="7.2869955156950675E-3"/>
    <n v="8.1199250468457218E-3"/>
    <s v="Bad"/>
  </r>
  <r>
    <x v="0"/>
    <s v="Social_MK~AE_TG"/>
    <s v="CDP"/>
    <x v="1"/>
    <x v="1"/>
    <s v="Video"/>
    <x v="1"/>
    <n v="2.41"/>
    <n v="2322"/>
    <n v="1952"/>
    <n v="14"/>
    <n v="849"/>
    <n v="836"/>
    <n v="3"/>
    <n v="0.36563307"/>
    <n v="0.36003445305770887"/>
    <n v="0.36003445305770887"/>
    <n v="1.0378983634797589"/>
    <n v="6.029285099052541E-3"/>
    <n v="7.1721311475409838E-3"/>
    <s v="Bad"/>
  </r>
  <r>
    <x v="0"/>
    <s v="Social_MK~AE_TG"/>
    <s v="Interests"/>
    <x v="0"/>
    <x v="1"/>
    <s v="Video"/>
    <x v="1"/>
    <n v="2.36"/>
    <n v="2853"/>
    <n v="2378"/>
    <n v="9"/>
    <n v="194"/>
    <n v="194"/>
    <n v="156"/>
    <n v="6.7998600000000006E-2"/>
    <n v="6.7998597967052224E-2"/>
    <n v="6.7998597967052224E-2"/>
    <n v="0.82719943918682082"/>
    <n v="3.1545741324921135E-3"/>
    <n v="3.784693019343986E-3"/>
    <s v="Bad"/>
  </r>
  <r>
    <x v="0"/>
    <s v="Social_MK~AE_TG"/>
    <s v="CDP"/>
    <x v="1"/>
    <x v="0"/>
    <s v="Video"/>
    <x v="1"/>
    <n v="2.21"/>
    <n v="1775"/>
    <n v="1549"/>
    <n v="7"/>
    <n v="725"/>
    <n v="719"/>
    <n v="7"/>
    <n v="0.4084507"/>
    <n v="0.40507042253521125"/>
    <n v="0.40507042253521125"/>
    <n v="1.2450704225352114"/>
    <n v="3.9436619718309857E-3"/>
    <n v="4.5190445448676569E-3"/>
    <s v="Bad"/>
  </r>
  <r>
    <x v="0"/>
    <s v="Social_MK~AE_TG"/>
    <s v="CDP"/>
    <x v="1"/>
    <x v="1"/>
    <s v="Video"/>
    <x v="0"/>
    <n v="2.04"/>
    <n v="2345"/>
    <n v="1443"/>
    <n v="9"/>
    <n v="570"/>
    <n v="566"/>
    <n v="1"/>
    <n v="0.24307036000000001"/>
    <n v="0.24136460554371003"/>
    <n v="0.24136460554371003"/>
    <n v="0.86993603411513865"/>
    <n v="3.8379530916844351E-3"/>
    <n v="6.2370062370062374E-3"/>
    <s v="Bad"/>
  </r>
  <r>
    <x v="0"/>
    <s v="Social_MK~AE_TG"/>
    <s v="CDP"/>
    <x v="1"/>
    <x v="0"/>
    <s v="Video"/>
    <x v="2"/>
    <n v="1.99"/>
    <n v="4491"/>
    <n v="3682"/>
    <n v="1"/>
    <n v="171"/>
    <n v="170"/>
    <n v="1"/>
    <n v="3.8076150000000003E-2"/>
    <n v="3.785348474727232E-2"/>
    <n v="3.785348474727232E-2"/>
    <n v="0.44310843910042308"/>
    <n v="2.2266755733689602E-4"/>
    <n v="2.7159152634437798E-4"/>
    <s v="Bad"/>
  </r>
  <r>
    <x v="0"/>
    <s v="Social_MK~AE_TG"/>
    <s v="CDP"/>
    <x v="1"/>
    <x v="1"/>
    <s v="Carousel"/>
    <x v="1"/>
    <n v="1.82"/>
    <n v="4196"/>
    <n v="2804"/>
    <n v="7"/>
    <n v="200"/>
    <n v="197"/>
    <n v="195"/>
    <n v="4.7664440000000002E-2"/>
    <n v="4.6949475691134411E-2"/>
    <n v="4.6949475691134411E-2"/>
    <n v="0.43374642516682554"/>
    <n v="1.6682554814108675E-3"/>
    <n v="2.4964336661911549E-3"/>
    <s v="Bad"/>
  </r>
  <r>
    <x v="0"/>
    <s v="Social_MK~AE_TG"/>
    <s v="CDP"/>
    <x v="1"/>
    <x v="0"/>
    <s v="Video"/>
    <x v="1"/>
    <n v="1.49"/>
    <n v="1013"/>
    <n v="940"/>
    <n v="5"/>
    <n v="433"/>
    <n v="428"/>
    <n v="2"/>
    <n v="0.42744324"/>
    <n v="0.42250740375123397"/>
    <n v="0.42250740375123397"/>
    <n v="1.4708785784797631"/>
    <n v="4.9358341559723592E-3"/>
    <n v="5.3191489361702126E-3"/>
    <s v="Bad"/>
  </r>
  <r>
    <x v="0"/>
    <s v="Social_MK~AE_TG"/>
    <s v="CDP"/>
    <x v="1"/>
    <x v="1"/>
    <s v="Video"/>
    <x v="1"/>
    <n v="1.46"/>
    <n v="405"/>
    <n v="381"/>
    <n v="8"/>
    <n v="286"/>
    <n v="277"/>
    <n v="0"/>
    <n v="0.70617284000000002"/>
    <n v="0.68395061728395057"/>
    <n v="0.68395061728395057"/>
    <n v="3.6049382716049378"/>
    <n v="1.9753086419753086E-2"/>
    <n v="2.0997375328083989E-2"/>
    <s v="Good"/>
  </r>
  <r>
    <x v="0"/>
    <s v="Social_MK~AE_TG"/>
    <s v="CDP"/>
    <x v="1"/>
    <x v="1"/>
    <s v="Video"/>
    <x v="2"/>
    <n v="1.41"/>
    <n v="3208"/>
    <n v="2670"/>
    <n v="1"/>
    <n v="77"/>
    <n v="76"/>
    <n v="1"/>
    <n v="2.4002490000000001E-2"/>
    <n v="2.369077306733167E-2"/>
    <n v="2.369077306733167E-2"/>
    <n v="0.43952618453865333"/>
    <n v="3.1172069825436408E-4"/>
    <n v="3.7453183520599252E-4"/>
    <s v="Bad"/>
  </r>
  <r>
    <x v="0"/>
    <s v="Social_MK~AE_TG"/>
    <s v="CDP"/>
    <x v="1"/>
    <x v="0"/>
    <s v="Video"/>
    <x v="0"/>
    <n v="1.23"/>
    <n v="1188"/>
    <n v="1007"/>
    <n v="7"/>
    <n v="321"/>
    <n v="316"/>
    <n v="1"/>
    <n v="0.27020201999999999"/>
    <n v="0.265993265993266"/>
    <n v="0.265993265993266"/>
    <n v="1.0353535353535352"/>
    <n v="5.8922558922558923E-3"/>
    <n v="6.9513406156901684E-3"/>
    <s v="Bad"/>
  </r>
  <r>
    <x v="0"/>
    <s v="Social_MK~AE_TG"/>
    <s v="Interests"/>
    <x v="0"/>
    <x v="0"/>
    <s v="Video"/>
    <x v="1"/>
    <n v="0.66"/>
    <n v="641"/>
    <n v="553"/>
    <n v="4"/>
    <n v="55"/>
    <n v="53"/>
    <n v="44"/>
    <n v="8.580343E-2"/>
    <n v="8.2683307332293288E-2"/>
    <n v="8.2683307332293288E-2"/>
    <n v="1.0296411856474259"/>
    <n v="6.2402496099843996E-3"/>
    <n v="7.2332730560578659E-3"/>
    <s v="Bad"/>
  </r>
  <r>
    <x v="0"/>
    <s v="Social_MK~AE_TG"/>
    <s v="CDP"/>
    <x v="1"/>
    <x v="0"/>
    <s v="Carousel"/>
    <x v="3"/>
    <n v="0.32"/>
    <n v="890"/>
    <n v="698"/>
    <n v="1"/>
    <n v="43"/>
    <n v="43"/>
    <n v="40"/>
    <n v="4.8314610000000001E-2"/>
    <n v="4.8314606741573035E-2"/>
    <n v="4.8314606741573035E-2"/>
    <n v="0.35955056179775285"/>
    <n v="1.1235955056179776E-3"/>
    <n v="1.4326647564469909E-3"/>
    <s v="Bad"/>
  </r>
  <r>
    <x v="0"/>
    <s v="Social_MK~AE_TG"/>
    <s v="Interests"/>
    <x v="0"/>
    <x v="0"/>
    <s v="Video"/>
    <x v="2"/>
    <n v="0.13"/>
    <n v="1"/>
    <n v="1"/>
    <n v="0"/>
    <n v="0"/>
    <n v="0"/>
    <n v="0"/>
    <n v="0"/>
    <n v="0"/>
    <n v="0"/>
    <n v="130"/>
    <n v="0"/>
    <n v="0"/>
    <s v="Bad"/>
  </r>
  <r>
    <x v="0"/>
    <s v="Social_MK~AE_TG"/>
    <s v="CDP"/>
    <x v="1"/>
    <x v="1"/>
    <s v="Video"/>
    <x v="1"/>
    <n v="0.1"/>
    <n v="164"/>
    <n v="130"/>
    <n v="0"/>
    <n v="25"/>
    <n v="25"/>
    <n v="20"/>
    <n v="0.15243902000000001"/>
    <n v="0.1524390243902439"/>
    <n v="0.1524390243902439"/>
    <n v="0.6097560975609756"/>
    <n v="0"/>
    <n v="0"/>
    <s v="Bad"/>
  </r>
  <r>
    <x v="0"/>
    <s v="Social_MK~AE_TG"/>
    <s v="CDP"/>
    <x v="1"/>
    <x v="0"/>
    <s v="Video"/>
    <x v="2"/>
    <n v="0.05"/>
    <n v="1"/>
    <n v="1"/>
    <n v="0"/>
    <n v="0"/>
    <n v="0"/>
    <n v="0"/>
    <n v="0"/>
    <n v="0"/>
    <n v="0"/>
    <n v="50"/>
    <n v="0"/>
    <n v="0"/>
    <s v="Bad"/>
  </r>
  <r>
    <x v="0"/>
    <s v="Social_MK~AE_TG"/>
    <s v="Interests"/>
    <x v="0"/>
    <x v="1"/>
    <s v="Video"/>
    <x v="2"/>
    <n v="0.02"/>
    <n v="2"/>
    <n v="2"/>
    <n v="0"/>
    <n v="1"/>
    <n v="1"/>
    <n v="0"/>
    <n v="0.5"/>
    <n v="0.5"/>
    <n v="0.5"/>
    <n v="10"/>
    <n v="0"/>
    <n v="0"/>
    <s v="Bad"/>
  </r>
  <r>
    <x v="0"/>
    <s v="Social_MK~AE_TG"/>
    <s v="CDP"/>
    <x v="1"/>
    <x v="0"/>
    <s v="Video"/>
    <x v="1"/>
    <n v="0.02"/>
    <n v="83"/>
    <n v="77"/>
    <n v="0"/>
    <n v="8"/>
    <n v="8"/>
    <n v="7"/>
    <n v="9.6385540000000006E-2"/>
    <n v="9.6385542168674704E-2"/>
    <n v="9.6385542168674704E-2"/>
    <n v="0.24096385542168677"/>
    <n v="0"/>
    <n v="0"/>
    <s v="Bad"/>
  </r>
  <r>
    <x v="0"/>
    <s v="Social_MK~AE_TG"/>
    <s v="CDP"/>
    <x v="1"/>
    <x v="0"/>
    <s v="Video"/>
    <x v="2"/>
    <n v="0.01"/>
    <n v="1"/>
    <n v="1"/>
    <n v="0"/>
    <n v="0"/>
    <n v="0"/>
    <n v="0"/>
    <n v="0"/>
    <n v="0"/>
    <n v="0"/>
    <n v="10"/>
    <n v="0"/>
    <n v="0"/>
    <s v="Bad"/>
  </r>
  <r>
    <x v="0"/>
    <s v="Social_MK~AE_TG"/>
    <s v="CDP"/>
    <x v="1"/>
    <x v="1"/>
    <s v="Carousel"/>
    <x v="2"/>
    <n v="0"/>
    <n v="0"/>
    <n v="0"/>
    <n v="0"/>
    <n v="0"/>
    <n v="0"/>
    <n v="0"/>
    <n v="0"/>
    <n v="0"/>
    <n v="0"/>
    <n v="0"/>
    <n v="0"/>
    <n v="0"/>
    <s v="Bad"/>
  </r>
  <r>
    <x v="0"/>
    <s v="Social_MK~AE_TG"/>
    <s v="Interests"/>
    <x v="0"/>
    <x v="1"/>
    <s v="Carousel"/>
    <x v="2"/>
    <n v="0"/>
    <n v="0"/>
    <n v="0"/>
    <n v="0"/>
    <n v="0"/>
    <n v="0"/>
    <n v="0"/>
    <n v="0"/>
    <n v="0"/>
    <n v="0"/>
    <n v="0"/>
    <n v="0"/>
    <n v="0"/>
    <s v="Bad"/>
  </r>
  <r>
    <x v="0"/>
    <s v="Social_MK~AE_TG"/>
    <s v="Interests"/>
    <x v="0"/>
    <x v="1"/>
    <s v="Video"/>
    <x v="2"/>
    <n v="0"/>
    <n v="1"/>
    <n v="1"/>
    <n v="0"/>
    <n v="0"/>
    <n v="0"/>
    <n v="0"/>
    <n v="0"/>
    <n v="0"/>
    <n v="0"/>
    <n v="0"/>
    <n v="0"/>
    <n v="0"/>
    <s v="Bad"/>
  </r>
  <r>
    <x v="0"/>
    <s v="Social_MK~AE_TG"/>
    <s v="Interests"/>
    <x v="0"/>
    <x v="0"/>
    <s v="Video"/>
    <x v="2"/>
    <n v="0"/>
    <n v="1"/>
    <n v="1"/>
    <n v="0"/>
    <n v="1"/>
    <n v="1"/>
    <n v="0"/>
    <n v="1"/>
    <n v="1"/>
    <n v="1"/>
    <n v="0"/>
    <n v="0"/>
    <n v="0"/>
    <s v="Bad"/>
  </r>
  <r>
    <x v="0"/>
    <s v="Social_MK~AE_TG"/>
    <s v="Interests"/>
    <x v="0"/>
    <x v="0"/>
    <s v="Carousel"/>
    <x v="2"/>
    <n v="0"/>
    <n v="0"/>
    <n v="0"/>
    <n v="0"/>
    <n v="0"/>
    <n v="0"/>
    <n v="0"/>
    <n v="0"/>
    <n v="0"/>
    <n v="0"/>
    <n v="0"/>
    <n v="0"/>
    <n v="0"/>
    <s v="Bad"/>
  </r>
  <r>
    <x v="0"/>
    <s v="Social_MK~AE_TG"/>
    <s v="CDP"/>
    <x v="1"/>
    <x v="1"/>
    <s v="Video"/>
    <x v="2"/>
    <n v="0"/>
    <n v="1"/>
    <n v="1"/>
    <n v="0"/>
    <n v="0"/>
    <n v="0"/>
    <n v="0"/>
    <n v="0"/>
    <n v="0"/>
    <n v="0"/>
    <n v="0"/>
    <n v="0"/>
    <n v="0"/>
    <s v="Bad"/>
  </r>
  <r>
    <x v="0"/>
    <s v="Social_MK~AE_TG"/>
    <s v="CDP"/>
    <x v="1"/>
    <x v="0"/>
    <s v="Carousel"/>
    <x v="2"/>
    <n v="0"/>
    <n v="0"/>
    <n v="0"/>
    <n v="0"/>
    <n v="0"/>
    <n v="0"/>
    <n v="0"/>
    <n v="0"/>
    <n v="0"/>
    <n v="0"/>
    <n v="0"/>
    <n v="0"/>
    <n v="0"/>
    <s v="Bad"/>
  </r>
  <r>
    <x v="0"/>
    <s v="Social_MK~AE_TG"/>
    <s v="CDP"/>
    <x v="1"/>
    <x v="1"/>
    <s v="Video"/>
    <x v="2"/>
    <n v="0"/>
    <n v="0"/>
    <n v="0"/>
    <n v="0"/>
    <n v="0"/>
    <n v="0"/>
    <n v="0"/>
    <n v="0"/>
    <n v="0"/>
    <n v="0"/>
    <n v="0"/>
    <n v="0"/>
    <n v="0"/>
    <s v="Bad"/>
  </r>
  <r>
    <x v="0"/>
    <s v="Social_MK~AE_TG"/>
    <s v="CDP"/>
    <x v="1"/>
    <x v="1"/>
    <s v="Video"/>
    <x v="2"/>
    <n v="0"/>
    <n v="0"/>
    <n v="0"/>
    <n v="0"/>
    <n v="0"/>
    <n v="0"/>
    <n v="0"/>
    <n v="0"/>
    <n v="0"/>
    <n v="0"/>
    <n v="0"/>
    <n v="0"/>
    <n v="0"/>
    <s v="Bad"/>
  </r>
  <r>
    <x v="0"/>
    <s v="Social_MK~AE_TG"/>
    <s v="Interests"/>
    <x v="0"/>
    <x v="0"/>
    <s v="Video"/>
    <x v="2"/>
    <n v="0"/>
    <n v="3"/>
    <n v="3"/>
    <n v="0"/>
    <n v="1"/>
    <n v="1"/>
    <n v="0"/>
    <n v="0.33333332999999998"/>
    <n v="0.33333333333333331"/>
    <n v="0.33333333333333331"/>
    <n v="0"/>
    <n v="0"/>
    <n v="0"/>
    <s v="Bad"/>
  </r>
  <r>
    <x v="0"/>
    <s v="Social_MK~AE_TG"/>
    <s v="CDP"/>
    <x v="1"/>
    <x v="0"/>
    <s v="Video"/>
    <x v="2"/>
    <n v="0"/>
    <n v="0"/>
    <n v="0"/>
    <n v="0"/>
    <n v="0"/>
    <n v="0"/>
    <n v="0"/>
    <n v="0"/>
    <n v="0"/>
    <n v="0"/>
    <n v="0"/>
    <n v="0"/>
    <n v="0"/>
    <s v="Bad"/>
  </r>
  <r>
    <x v="0"/>
    <s v="Social_MK~AE_TG"/>
    <s v="Interests"/>
    <x v="0"/>
    <x v="1"/>
    <s v="Video"/>
    <x v="2"/>
    <n v="0"/>
    <n v="1"/>
    <n v="1"/>
    <n v="0"/>
    <n v="1"/>
    <n v="1"/>
    <n v="0"/>
    <n v="1"/>
    <n v="1"/>
    <n v="1"/>
    <n v="0"/>
    <n v="0"/>
    <n v="0"/>
    <s v="Bad"/>
  </r>
  <r>
    <x v="1"/>
    <s v="Social_MK~BH_TG"/>
    <s v="Interests"/>
    <x v="0"/>
    <x v="0"/>
    <s v="Video"/>
    <x v="0"/>
    <n v="447.62"/>
    <n v="917627"/>
    <n v="199617"/>
    <n v="4333"/>
    <n v="184422"/>
    <n v="181384"/>
    <n v="2742"/>
    <n v="0.92387923000000005"/>
    <n v="0.19766637206620991"/>
    <n v="0.19766637206620991"/>
    <n v="0.48780168848562655"/>
    <n v="4.721962191609445E-3"/>
    <n v="2.170656807786912E-2"/>
    <s v="Bad"/>
  </r>
  <r>
    <x v="1"/>
    <s v="Social_MK~BH_TG"/>
    <s v="Interests"/>
    <x v="0"/>
    <x v="1"/>
    <s v="Video"/>
    <x v="1"/>
    <n v="219.21"/>
    <n v="211900"/>
    <n v="74032"/>
    <n v="2192"/>
    <n v="164416"/>
    <n v="162292"/>
    <n v="271"/>
    <n v="2.2208774600000001"/>
    <n v="0.76588957055214724"/>
    <n v="0.76588957055214724"/>
    <n v="1.0344974044360549"/>
    <n v="1.0344502123643228E-2"/>
    <n v="2.960881780851524E-2"/>
    <s v="Bad"/>
  </r>
  <r>
    <x v="1"/>
    <s v="Social_MK~BH_TG"/>
    <s v="Interests"/>
    <x v="0"/>
    <x v="1"/>
    <s v="Video"/>
    <x v="1"/>
    <n v="197.06"/>
    <n v="712777"/>
    <n v="183997"/>
    <n v="2690"/>
    <n v="42093"/>
    <n v="41795"/>
    <n v="1498"/>
    <n v="0.22877003000000001"/>
    <n v="5.8636852760400517E-2"/>
    <n v="5.8636852760400517E-2"/>
    <n v="0.2764679556158518"/>
    <n v="3.7739713823538076E-3"/>
    <n v="1.461980358375408E-2"/>
    <s v="Bad"/>
  </r>
  <r>
    <x v="1"/>
    <s v="Social_MK~BH_TG"/>
    <s v="Interests"/>
    <x v="0"/>
    <x v="1"/>
    <s v="Video"/>
    <x v="0"/>
    <n v="195.85"/>
    <n v="449651"/>
    <n v="98337"/>
    <n v="1631"/>
    <n v="74652"/>
    <n v="73604"/>
    <n v="1944"/>
    <n v="0.75914457000000002"/>
    <n v="0.16369139621617654"/>
    <n v="0.16369139621617654"/>
    <n v="0.4355600232180068"/>
    <n v="3.6272575842153138E-3"/>
    <n v="1.6585822223578101E-2"/>
    <s v="Bad"/>
  </r>
  <r>
    <x v="1"/>
    <s v="Social_MK~BH_TG"/>
    <s v="Interests"/>
    <x v="0"/>
    <x v="0"/>
    <s v="Video"/>
    <x v="1"/>
    <n v="143.31"/>
    <n v="194144"/>
    <n v="91760"/>
    <n v="1354"/>
    <n v="89625"/>
    <n v="88318"/>
    <n v="838"/>
    <n v="0.97673277999999997"/>
    <n v="0.45490975770562059"/>
    <n v="0.45490975770562059"/>
    <n v="0.73816342508653365"/>
    <n v="6.9742047140267018E-3"/>
    <n v="1.4755884917175241E-2"/>
    <s v="Bad"/>
  </r>
  <r>
    <x v="1"/>
    <s v="Social_MK~BH_TG"/>
    <s v="Interests"/>
    <x v="0"/>
    <x v="0"/>
    <s v="Static"/>
    <x v="1"/>
    <n v="129.66999999999999"/>
    <n v="476494"/>
    <n v="126972"/>
    <n v="1212"/>
    <n v="701"/>
    <n v="0"/>
    <n v="0"/>
    <n v="5.5208999999999996E-3"/>
    <n v="0"/>
    <n v="0"/>
    <n v="0.27213354208027801"/>
    <n v="2.5435787229220095E-3"/>
    <n v="9.5454115868065393E-3"/>
    <s v="Bad"/>
  </r>
  <r>
    <x v="1"/>
    <s v="Social_MK~BH_TG"/>
    <s v="Interests"/>
    <x v="0"/>
    <x v="0"/>
    <s v="Video"/>
    <x v="0"/>
    <n v="122.72"/>
    <n v="259766"/>
    <n v="98706"/>
    <n v="1290"/>
    <n v="47722"/>
    <n v="46834"/>
    <n v="1308"/>
    <n v="0.48347617999999998"/>
    <n v="0.18029303296043361"/>
    <n v="0.18029303296043361"/>
    <n v="0.47242518266439792"/>
    <n v="4.9660078686202197E-3"/>
    <n v="1.3069114339553829E-2"/>
    <s v="Bad"/>
  </r>
  <r>
    <x v="1"/>
    <s v="Social_MK~BH_TG"/>
    <s v="Interests"/>
    <x v="0"/>
    <x v="1"/>
    <s v="Video"/>
    <x v="1"/>
    <n v="122.43"/>
    <n v="439064"/>
    <n v="125215"/>
    <n v="1584"/>
    <n v="23737"/>
    <n v="23431"/>
    <n v="1173"/>
    <n v="0.18956993999999999"/>
    <n v="5.3365796330375526E-2"/>
    <n v="5.3365796330375526E-2"/>
    <n v="0.27884317548238985"/>
    <n v="3.6076745075888711E-3"/>
    <n v="1.2650241584474701E-2"/>
    <s v="Bad"/>
  </r>
  <r>
    <x v="1"/>
    <s v="Social_MK~BH_TG"/>
    <s v="Interests"/>
    <x v="0"/>
    <x v="0"/>
    <s v="Video"/>
    <x v="0"/>
    <n v="113.71"/>
    <n v="403255"/>
    <n v="125472"/>
    <n v="1418"/>
    <n v="25747"/>
    <n v="25334"/>
    <n v="846"/>
    <n v="0.20520115999999999"/>
    <n v="6.2823771558939132E-2"/>
    <n v="6.2823771558939132E-2"/>
    <n v="0.28198038462015346"/>
    <n v="3.5163854136960482E-3"/>
    <n v="1.1301326192297879E-2"/>
    <s v="Bad"/>
  </r>
  <r>
    <x v="1"/>
    <s v="Social_MK~BH_TG"/>
    <s v="Interests"/>
    <x v="0"/>
    <x v="0"/>
    <s v="Video"/>
    <x v="1"/>
    <n v="107.1"/>
    <n v="195501"/>
    <n v="62289"/>
    <n v="1205"/>
    <n v="47855"/>
    <n v="46955"/>
    <n v="955"/>
    <n v="0.76827369000000001"/>
    <n v="0.24017779960204808"/>
    <n v="0.24017779960204808"/>
    <n v="0.54782328479138209"/>
    <n v="6.1636513368218066E-3"/>
    <n v="1.9345309765769241E-2"/>
    <s v="Bad"/>
  </r>
  <r>
    <x v="1"/>
    <s v="Social_MK~BH_TG"/>
    <s v="Interests"/>
    <x v="0"/>
    <x v="0"/>
    <s v="Video"/>
    <x v="1"/>
    <n v="76.66"/>
    <n v="269378"/>
    <n v="108608"/>
    <n v="819"/>
    <n v="14518"/>
    <n v="14251"/>
    <n v="411"/>
    <n v="0.13367339"/>
    <n v="5.2903355136648129E-2"/>
    <n v="5.2903355136648129E-2"/>
    <n v="0.28458151742161569"/>
    <n v="3.0403373697926333E-3"/>
    <n v="7.5408809664113136E-3"/>
    <s v="Bad"/>
  </r>
  <r>
    <x v="1"/>
    <s v="Social_MK~BH_TG"/>
    <s v="Interests"/>
    <x v="0"/>
    <x v="1"/>
    <s v="Video"/>
    <x v="0"/>
    <n v="73.05"/>
    <n v="257183"/>
    <n v="88959"/>
    <n v="881"/>
    <n v="14728"/>
    <n v="14436"/>
    <n v="633"/>
    <n v="0.16555942000000001"/>
    <n v="5.613123729017859E-2"/>
    <n v="5.613123729017859E-2"/>
    <n v="0.28403899169074159"/>
    <n v="3.425576340582387E-3"/>
    <n v="9.9034386627547526E-3"/>
    <s v="Bad"/>
  </r>
  <r>
    <x v="1"/>
    <s v="Social_MK~BH_TG"/>
    <s v="Interests"/>
    <x v="0"/>
    <x v="1"/>
    <s v="Video"/>
    <x v="0"/>
    <n v="72.91"/>
    <n v="116927"/>
    <n v="52704"/>
    <n v="601"/>
    <n v="39230"/>
    <n v="38730"/>
    <n v="252"/>
    <n v="0.74434577999999996"/>
    <n v="0.33123230733705644"/>
    <n v="0.33123230733705644"/>
    <n v="0.62355144662909334"/>
    <n v="5.1399591197926909E-3"/>
    <n v="1.1403309046751671E-2"/>
    <s v="Bad"/>
  </r>
  <r>
    <x v="1"/>
    <s v="Social_MK~BH_TG"/>
    <s v="Interests"/>
    <x v="0"/>
    <x v="0"/>
    <s v="Video"/>
    <x v="1"/>
    <n v="72.27"/>
    <n v="246369"/>
    <n v="103800"/>
    <n v="588"/>
    <n v="7257"/>
    <n v="7223"/>
    <n v="6199"/>
    <n v="6.9913290000000003E-2"/>
    <n v="2.9317811900036125E-2"/>
    <n v="2.9317811900036125E-2"/>
    <n v="0.29334047708924416"/>
    <n v="2.3866639065791557E-3"/>
    <n v="5.6647398843930634E-3"/>
    <s v="Bad"/>
  </r>
  <r>
    <x v="1"/>
    <s v="Social_MK~BH_TG"/>
    <s v="Interests"/>
    <x v="0"/>
    <x v="0"/>
    <s v="Static"/>
    <x v="1"/>
    <n v="58.09"/>
    <n v="207642"/>
    <n v="70815"/>
    <n v="630"/>
    <n v="437"/>
    <n v="0"/>
    <n v="0"/>
    <n v="6.1710100000000002E-3"/>
    <n v="0"/>
    <n v="0"/>
    <n v="0.27976035676789862"/>
    <n v="3.0340682520877279E-3"/>
    <n v="8.8964202499470443E-3"/>
    <s v="Bad"/>
  </r>
  <r>
    <x v="1"/>
    <s v="Social_MK~BH_TG"/>
    <s v="Interests"/>
    <x v="0"/>
    <x v="1"/>
    <s v="Static"/>
    <x v="1"/>
    <n v="49.94"/>
    <n v="175079"/>
    <n v="74736"/>
    <n v="380"/>
    <n v="247"/>
    <n v="0"/>
    <n v="0"/>
    <n v="3.30497E-3"/>
    <n v="0"/>
    <n v="0"/>
    <n v="0.28524266188406372"/>
    <n v="2.1704487688414945E-3"/>
    <n v="5.0845643331192463E-3"/>
    <s v="Bad"/>
  </r>
  <r>
    <x v="1"/>
    <s v="Social_MK~BH_TG"/>
    <s v="Interests"/>
    <x v="0"/>
    <x v="1"/>
    <s v="Video"/>
    <x v="1"/>
    <n v="48.4"/>
    <n v="51773"/>
    <n v="31512"/>
    <n v="538"/>
    <n v="33479"/>
    <n v="32971"/>
    <n v="143"/>
    <n v="1.0624206700000001"/>
    <n v="0.63683773395399146"/>
    <n v="0.63683773395399146"/>
    <n v="0.93485021150020275"/>
    <n v="1.0391516813783246E-2"/>
    <n v="1.707286113226707E-2"/>
    <s v="Bad"/>
  </r>
  <r>
    <x v="1"/>
    <s v="Social_MK~BH_TG"/>
    <s v="Interests"/>
    <x v="0"/>
    <x v="1"/>
    <s v="Video"/>
    <x v="0"/>
    <n v="35.21"/>
    <n v="128492"/>
    <n v="54686"/>
    <n v="378"/>
    <n v="5567"/>
    <n v="5532"/>
    <n v="193"/>
    <n v="0.10179936000000001"/>
    <n v="4.3053264016436818E-2"/>
    <n v="4.3053264016436818E-2"/>
    <n v="0.27402484201351057"/>
    <n v="2.9418173894094576E-3"/>
    <n v="6.9121895914859366E-3"/>
    <s v="Bad"/>
  </r>
  <r>
    <x v="1"/>
    <s v="Social_MK~BH_TG"/>
    <s v="Interests"/>
    <x v="0"/>
    <x v="0"/>
    <s v="Video"/>
    <x v="1"/>
    <n v="28.39"/>
    <n v="102987"/>
    <n v="55777"/>
    <n v="246"/>
    <n v="5438"/>
    <n v="5387"/>
    <n v="228"/>
    <n v="9.7495380000000006E-2"/>
    <n v="5.2307572800450543E-2"/>
    <n v="5.2307572800450543E-2"/>
    <n v="0.275665860739705"/>
    <n v="2.3886509947857498E-3"/>
    <n v="4.4104200656184447E-3"/>
    <s v="Bad"/>
  </r>
  <r>
    <x v="1"/>
    <s v="Social_MK~BH_TG"/>
    <s v="Interests"/>
    <x v="0"/>
    <x v="1"/>
    <s v="Video"/>
    <x v="2"/>
    <n v="26.83"/>
    <n v="94339"/>
    <n v="32792"/>
    <n v="24"/>
    <n v="3792"/>
    <n v="3747"/>
    <n v="38"/>
    <n v="0.11563796"/>
    <n v="3.9718462141850139E-2"/>
    <n v="3.9718462141850139E-2"/>
    <n v="0.28439987703918845"/>
    <n v="2.5440167905108171E-4"/>
    <n v="7.318858258111735E-4"/>
    <s v="Bad"/>
  </r>
  <r>
    <x v="1"/>
    <s v="Social_MK~BH_TG"/>
    <s v="Interests"/>
    <x v="0"/>
    <x v="0"/>
    <s v="Static"/>
    <x v="1"/>
    <n v="24.89"/>
    <n v="87119"/>
    <n v="43544"/>
    <n v="179"/>
    <n v="126"/>
    <n v="0"/>
    <n v="0"/>
    <n v="2.89362E-3"/>
    <n v="0"/>
    <n v="0"/>
    <n v="0.28570116736877149"/>
    <n v="2.0546608661715583E-3"/>
    <n v="4.1107844938453059E-3"/>
    <s v="Bad"/>
  </r>
  <r>
    <x v="1"/>
    <s v="Social_MK~BH_TG"/>
    <s v="Interests"/>
    <x v="0"/>
    <x v="1"/>
    <s v="Video"/>
    <x v="1"/>
    <n v="24.11"/>
    <n v="85579"/>
    <n v="36360"/>
    <n v="154"/>
    <n v="2451"/>
    <n v="2442"/>
    <n v="2086"/>
    <n v="6.7409239999999995E-2"/>
    <n v="2.8535037801329766E-2"/>
    <n v="2.8535037801329766E-2"/>
    <n v="0.28172799401722387"/>
    <n v="1.7995068883721473E-3"/>
    <n v="4.2354235423542356E-3"/>
    <s v="Bad"/>
  </r>
  <r>
    <x v="1"/>
    <s v="Social_MK~BH_TG"/>
    <s v="Interests"/>
    <x v="0"/>
    <x v="0"/>
    <s v="Video"/>
    <x v="1"/>
    <n v="18.420000000000002"/>
    <n v="67183"/>
    <n v="35647"/>
    <n v="221"/>
    <n v="2628"/>
    <n v="2596"/>
    <n v="87"/>
    <n v="7.3722889999999999E-2"/>
    <n v="3.8640727565009005E-2"/>
    <n v="3.8640727565009005E-2"/>
    <n v="0.27417650298438595"/>
    <n v="3.2895226470982244E-3"/>
    <n v="6.1996801974920747E-3"/>
    <s v="Bad"/>
  </r>
  <r>
    <x v="1"/>
    <s v="Social_MK~BH_TG"/>
    <s v="Interests"/>
    <x v="0"/>
    <x v="1"/>
    <s v="Static"/>
    <x v="1"/>
    <n v="17.510000000000002"/>
    <n v="64790"/>
    <n v="36344"/>
    <n v="104"/>
    <n v="55"/>
    <n v="0"/>
    <n v="0"/>
    <n v="1.5133200000000001E-3"/>
    <n v="0"/>
    <n v="0"/>
    <n v="0.27025775582651651"/>
    <n v="1.6051859854915881E-3"/>
    <n v="2.8615452344265902E-3"/>
    <s v="Bad"/>
  </r>
  <r>
    <x v="1"/>
    <s v="Social_MK~BH_TG"/>
    <s v="Interests"/>
    <x v="0"/>
    <x v="1"/>
    <s v="Video"/>
    <x v="1"/>
    <n v="17.440000000000001"/>
    <n v="18147"/>
    <n v="13756"/>
    <n v="349"/>
    <n v="13146"/>
    <n v="12799"/>
    <n v="18"/>
    <n v="0.95565571000000005"/>
    <n v="0.70529564115280763"/>
    <n v="0.70529564115280763"/>
    <n v="0.96104039235135297"/>
    <n v="1.9231828952443929E-2"/>
    <n v="2.5370747310264612E-2"/>
    <s v="Good"/>
  </r>
  <r>
    <x v="1"/>
    <s v="Social_MK~BH_TG"/>
    <s v="Interests"/>
    <x v="0"/>
    <x v="0"/>
    <s v="Video"/>
    <x v="0"/>
    <n v="15.63"/>
    <n v="57045"/>
    <n v="27600"/>
    <n v="157"/>
    <n v="3383"/>
    <n v="3350"/>
    <n v="134"/>
    <n v="0.12257245999999999"/>
    <n v="5.8725567534402667E-2"/>
    <n v="5.8725567534402667E-2"/>
    <n v="0.27399421509334737"/>
    <n v="2.7522131650451398E-3"/>
    <n v="5.6884057971014496E-3"/>
    <s v="Bad"/>
  </r>
  <r>
    <x v="1"/>
    <s v="Social_MK~BH_TG"/>
    <s v="Interests"/>
    <x v="0"/>
    <x v="0"/>
    <s v="Video"/>
    <x v="2"/>
    <n v="15.02"/>
    <n v="55635"/>
    <n v="21963"/>
    <n v="17"/>
    <n v="1971"/>
    <n v="1948"/>
    <n v="10"/>
    <n v="8.9741840000000003E-2"/>
    <n v="3.5013930079985621E-2"/>
    <n v="3.5013930079985621E-2"/>
    <n v="0.26997393726970431"/>
    <n v="3.0556304484587041E-4"/>
    <n v="7.7402904885489233E-4"/>
    <s v="Bad"/>
  </r>
  <r>
    <x v="1"/>
    <s v="Social_MK~BH_TG"/>
    <s v="Interests"/>
    <x v="0"/>
    <x v="0"/>
    <s v="Video"/>
    <x v="0"/>
    <n v="14.02"/>
    <n v="51496"/>
    <n v="30973"/>
    <n v="112"/>
    <n v="2285"/>
    <n v="2260"/>
    <n v="47"/>
    <n v="7.3773930000000001E-2"/>
    <n v="4.3886903837191238E-2"/>
    <n v="4.3886903837191238E-2"/>
    <n v="0.27225415566257577"/>
    <n v="2.1749262078608047E-3"/>
    <n v="3.6160526910534981E-3"/>
    <s v="Bad"/>
  </r>
  <r>
    <x v="1"/>
    <s v="Social_MK~BH_TG"/>
    <s v="Interests"/>
    <x v="0"/>
    <x v="1"/>
    <s v="Static"/>
    <x v="1"/>
    <n v="13.24"/>
    <n v="46831"/>
    <n v="26736"/>
    <n v="96"/>
    <n v="60"/>
    <n v="0"/>
    <n v="0"/>
    <n v="2.2441700000000002E-3"/>
    <n v="0"/>
    <n v="0"/>
    <n v="0.28271871196429715"/>
    <n v="2.04992419551152E-3"/>
    <n v="3.5906642728904849E-3"/>
    <s v="Bad"/>
  </r>
  <r>
    <x v="1"/>
    <s v="Social_MK~BH_TG"/>
    <s v="Interests"/>
    <x v="0"/>
    <x v="1"/>
    <s v="Video"/>
    <x v="0"/>
    <n v="12.72"/>
    <n v="47601"/>
    <n v="27480"/>
    <n v="137"/>
    <n v="2954"/>
    <n v="2915"/>
    <n v="120"/>
    <n v="0.10749636"/>
    <n v="6.1238209281317617E-2"/>
    <n v="6.1238209281317617E-2"/>
    <n v="0.26722127686393143"/>
    <n v="2.8780907964118399E-3"/>
    <n v="4.985443959243086E-3"/>
    <s v="Bad"/>
  </r>
  <r>
    <x v="1"/>
    <s v="Social_MK~BH_TG"/>
    <s v="Interests"/>
    <x v="0"/>
    <x v="1"/>
    <s v="Video"/>
    <x v="1"/>
    <n v="11.38"/>
    <n v="42431"/>
    <n v="22323"/>
    <n v="126"/>
    <n v="1503"/>
    <n v="1482"/>
    <n v="68"/>
    <n v="6.732966E-2"/>
    <n v="3.4927293723928263E-2"/>
    <n v="3.4927293723928263E-2"/>
    <n v="0.26820013669251258"/>
    <n v="2.9695269967712286E-3"/>
    <n v="5.6444026340545629E-3"/>
    <s v="Bad"/>
  </r>
  <r>
    <x v="1"/>
    <s v="Social_MK~BH_TG"/>
    <s v="Interests"/>
    <x v="0"/>
    <x v="1"/>
    <s v="Video"/>
    <x v="2"/>
    <n v="11.35"/>
    <n v="40191"/>
    <n v="23088"/>
    <n v="15"/>
    <n v="2034"/>
    <n v="2015"/>
    <n v="35"/>
    <n v="8.8097709999999996E-2"/>
    <n v="5.013560249807171E-2"/>
    <n v="5.013560249807171E-2"/>
    <n v="0.28240153268144608"/>
    <n v="3.7321788460103008E-4"/>
    <n v="6.4968814968814972E-4"/>
    <s v="Bad"/>
  </r>
  <r>
    <x v="1"/>
    <s v="Social_MK~BH_TG"/>
    <s v="Interests"/>
    <x v="0"/>
    <x v="1"/>
    <s v="Carousel"/>
    <x v="1"/>
    <n v="10.19"/>
    <n v="33841"/>
    <n v="22296"/>
    <n v="39"/>
    <n v="1706"/>
    <n v="1690"/>
    <n v="1708"/>
    <n v="7.6515970000000003E-2"/>
    <n v="4.9939422593894979E-2"/>
    <n v="4.9939422593894979E-2"/>
    <n v="0.30111403327324843"/>
    <n v="1.1524482137052687E-3"/>
    <n v="1.7491926803013991E-3"/>
    <s v="Bad"/>
  </r>
  <r>
    <x v="1"/>
    <s v="Social_MK~BH_TG"/>
    <s v="Interests"/>
    <x v="0"/>
    <x v="0"/>
    <s v="Video"/>
    <x v="2"/>
    <n v="9.4600000000000009"/>
    <n v="34405"/>
    <n v="16319"/>
    <n v="16"/>
    <n v="1845"/>
    <n v="1832"/>
    <n v="11"/>
    <n v="0.1130584"/>
    <n v="5.3248074407789565E-2"/>
    <n v="5.3248074407789565E-2"/>
    <n v="0.27496003487865139"/>
    <n v="4.6504868478418836E-4"/>
    <n v="9.8045223359274469E-4"/>
    <s v="Bad"/>
  </r>
  <r>
    <x v="1"/>
    <s v="Social_MK~BH_TG"/>
    <s v="Interests"/>
    <x v="0"/>
    <x v="0"/>
    <s v="Video"/>
    <x v="0"/>
    <n v="6.9"/>
    <n v="12771"/>
    <n v="8085"/>
    <n v="71"/>
    <n v="3895"/>
    <n v="3831"/>
    <n v="10"/>
    <n v="0.48175634000000001"/>
    <n v="0.29997650927883485"/>
    <n v="0.29997650927883485"/>
    <n v="0.54028658679821473"/>
    <n v="5.5594706757497456E-3"/>
    <n v="8.7816944959802096E-3"/>
    <s v="Bad"/>
  </r>
  <r>
    <x v="1"/>
    <s v="Social_MK~BH_TG"/>
    <s v="Interests"/>
    <x v="0"/>
    <x v="1"/>
    <s v="Video"/>
    <x v="2"/>
    <n v="6.61"/>
    <n v="23445"/>
    <n v="15108"/>
    <n v="8"/>
    <n v="739"/>
    <n v="732"/>
    <n v="2"/>
    <n v="4.8914480000000003E-2"/>
    <n v="3.1222008957133719E-2"/>
    <n v="3.1222008957133719E-2"/>
    <n v="0.28193644700362552"/>
    <n v="3.4122414160801877E-4"/>
    <n v="5.2952078369075987E-4"/>
    <s v="Bad"/>
  </r>
  <r>
    <x v="1"/>
    <s v="Social_MK~BH_TG"/>
    <s v="Interests"/>
    <x v="0"/>
    <x v="0"/>
    <s v="Video"/>
    <x v="1"/>
    <n v="6.21"/>
    <n v="8299"/>
    <n v="7194"/>
    <n v="98"/>
    <n v="4638"/>
    <n v="4540"/>
    <n v="19"/>
    <n v="0.64470391999999999"/>
    <n v="0.54705386191107364"/>
    <n v="0.54705386191107364"/>
    <n v="0.74828292565369314"/>
    <n v="1.1808651644776479E-2"/>
    <n v="1.3622463163747571E-2"/>
    <s v="Bad"/>
  </r>
  <r>
    <x v="1"/>
    <s v="Social_MK~BH_TG"/>
    <s v="Interests"/>
    <x v="0"/>
    <x v="0"/>
    <s v="Video"/>
    <x v="2"/>
    <n v="5.6"/>
    <n v="19993"/>
    <n v="12720"/>
    <n v="3"/>
    <n v="1287"/>
    <n v="1278"/>
    <n v="18"/>
    <n v="0.10117925"/>
    <n v="6.3922372830490667E-2"/>
    <n v="6.3922372830490667E-2"/>
    <n v="0.28009803431200919"/>
    <n v="1.500525183814335E-4"/>
    <n v="2.3584905660377359E-4"/>
    <s v="Bad"/>
  </r>
  <r>
    <x v="1"/>
    <s v="Social_MK~BH_TG"/>
    <s v="Interests"/>
    <x v="0"/>
    <x v="1"/>
    <s v="Video"/>
    <x v="0"/>
    <n v="4.01"/>
    <n v="6651"/>
    <n v="4241"/>
    <n v="39"/>
    <n v="2496"/>
    <n v="2463"/>
    <n v="8"/>
    <n v="0.58854044000000005"/>
    <n v="0.37032025259359497"/>
    <n v="0.37032025259359497"/>
    <n v="0.60291685460832956"/>
    <n v="5.8637798827244026E-3"/>
    <n v="9.1959443527469941E-3"/>
    <s v="Bad"/>
  </r>
  <r>
    <x v="1"/>
    <s v="Social_MK~BH_TG"/>
    <s v="Interests"/>
    <x v="0"/>
    <x v="0"/>
    <s v="Carousel"/>
    <x v="1"/>
    <n v="3.37"/>
    <n v="11301"/>
    <n v="7830"/>
    <n v="21"/>
    <n v="462"/>
    <n v="449"/>
    <n v="483"/>
    <n v="5.900383E-2"/>
    <n v="3.9730997256879924E-2"/>
    <n v="3.9730997256879924E-2"/>
    <n v="0.29820369878771791"/>
    <n v="1.8582426333952748E-3"/>
    <n v="2.6819923371647512E-3"/>
    <s v="Bad"/>
  </r>
  <r>
    <x v="1"/>
    <s v="Social_MK~BH_TG"/>
    <s v="Interests"/>
    <x v="0"/>
    <x v="0"/>
    <s v="Video"/>
    <x v="1"/>
    <n v="1.88"/>
    <n v="4762"/>
    <n v="3286"/>
    <n v="8"/>
    <n v="1057"/>
    <n v="1049"/>
    <n v="906"/>
    <n v="0.32166768000000001"/>
    <n v="0.22028559428811423"/>
    <n v="0.22028559428811423"/>
    <n v="0.39479210415791682"/>
    <n v="1.6799664006719867E-3"/>
    <n v="2.4345709068776629E-3"/>
    <s v="Bad"/>
  </r>
  <r>
    <x v="1"/>
    <s v="Social_MK~BH_TG"/>
    <s v="Interests"/>
    <x v="0"/>
    <x v="1"/>
    <s v="Video"/>
    <x v="1"/>
    <n v="1.62"/>
    <n v="4267"/>
    <n v="3126"/>
    <n v="11"/>
    <n v="832"/>
    <n v="831"/>
    <n v="704"/>
    <n v="0.26615483000000001"/>
    <n v="0.19475041012420904"/>
    <n v="0.19475041012420904"/>
    <n v="0.37965783923131008"/>
    <n v="2.5779235997187718E-3"/>
    <n v="3.5188739603326941E-3"/>
    <s v="Bad"/>
  </r>
  <r>
    <x v="1"/>
    <s v="Social_MK~BH_TG"/>
    <s v="Interests"/>
    <x v="0"/>
    <x v="1"/>
    <s v="Video"/>
    <x v="2"/>
    <n v="0.02"/>
    <n v="57"/>
    <n v="48"/>
    <n v="0"/>
    <n v="12"/>
    <n v="12"/>
    <n v="0"/>
    <n v="0.25"/>
    <n v="0.21052631578947367"/>
    <n v="0.21052631578947367"/>
    <n v="0.35087719298245618"/>
    <n v="0"/>
    <n v="0"/>
    <s v="Bad"/>
  </r>
  <r>
    <x v="1"/>
    <s v="Social_MK~BH_TG"/>
    <s v="Interests"/>
    <x v="0"/>
    <x v="0"/>
    <s v="Carousel"/>
    <x v="2"/>
    <n v="0"/>
    <n v="2"/>
    <n v="2"/>
    <n v="0"/>
    <n v="0"/>
    <n v="0"/>
    <n v="0"/>
    <n v="0"/>
    <n v="0"/>
    <n v="0"/>
    <n v="0"/>
    <n v="0"/>
    <n v="0"/>
    <s v="Bad"/>
  </r>
  <r>
    <x v="1"/>
    <s v="Social_MK~BH_TG"/>
    <s v="Interests"/>
    <x v="0"/>
    <x v="0"/>
    <s v="Video"/>
    <x v="2"/>
    <n v="0"/>
    <n v="46"/>
    <n v="39"/>
    <n v="0"/>
    <n v="7"/>
    <n v="7"/>
    <n v="0"/>
    <n v="0.17948718"/>
    <n v="0.15217391304347827"/>
    <n v="0.15217391304347827"/>
    <n v="0"/>
    <n v="0"/>
    <n v="0"/>
    <s v="Bad"/>
  </r>
  <r>
    <x v="1"/>
    <s v="Social_MK~BH_TG"/>
    <s v="Interests"/>
    <x v="0"/>
    <x v="0"/>
    <s v="Video"/>
    <x v="2"/>
    <n v="0"/>
    <n v="50"/>
    <n v="39"/>
    <n v="0"/>
    <n v="9"/>
    <n v="9"/>
    <n v="0"/>
    <n v="0.23076922999999999"/>
    <n v="0.18"/>
    <n v="0.18"/>
    <n v="0"/>
    <n v="0"/>
    <n v="0"/>
    <s v="Bad"/>
  </r>
  <r>
    <x v="1"/>
    <s v="Social_MK~BH_TG"/>
    <s v="Interests"/>
    <x v="0"/>
    <x v="1"/>
    <s v="Video"/>
    <x v="2"/>
    <n v="0"/>
    <n v="24"/>
    <n v="20"/>
    <n v="0"/>
    <n v="8"/>
    <n v="8"/>
    <n v="0"/>
    <n v="0.4"/>
    <n v="0.33333333333333331"/>
    <n v="0.33333333333333331"/>
    <n v="0"/>
    <n v="0"/>
    <n v="0"/>
    <s v="Bad"/>
  </r>
  <r>
    <x v="1"/>
    <s v="Social_MK~BH_TG"/>
    <s v="Interests"/>
    <x v="0"/>
    <x v="1"/>
    <s v="Video"/>
    <x v="2"/>
    <n v="0"/>
    <n v="21"/>
    <n v="19"/>
    <n v="0"/>
    <n v="2"/>
    <n v="2"/>
    <n v="0"/>
    <n v="0.10526315999999999"/>
    <n v="9.5238095238095233E-2"/>
    <n v="9.5238095238095233E-2"/>
    <n v="0"/>
    <n v="0"/>
    <n v="0"/>
    <s v="Bad"/>
  </r>
  <r>
    <x v="2"/>
    <s v="Social_MK~JED_TG"/>
    <s v="Interests"/>
    <x v="0"/>
    <x v="0"/>
    <s v="Video"/>
    <x v="0"/>
    <n v="1533.7"/>
    <n v="2890910"/>
    <n v="572164"/>
    <n v="12938"/>
    <n v="487419"/>
    <n v="479638"/>
    <n v="7803"/>
    <n v="0.85188686999999996"/>
    <n v="0.16591246354953976"/>
    <n v="0.16591246354953976"/>
    <n v="0.53052499040094647"/>
    <n v="4.4754073976706298E-3"/>
    <n v="2.261239784397481E-2"/>
    <s v="Bad"/>
  </r>
  <r>
    <x v="2"/>
    <s v="Social_MK~JED_TG"/>
    <s v="Interests"/>
    <x v="0"/>
    <x v="0"/>
    <s v="Video"/>
    <x v="0"/>
    <n v="659.13"/>
    <n v="2379089"/>
    <n v="627297"/>
    <n v="8917"/>
    <n v="137328"/>
    <n v="135957"/>
    <n v="4086"/>
    <n v="0.21892022"/>
    <n v="5.7146664122275377E-2"/>
    <n v="5.7146664122275377E-2"/>
    <n v="0.27705142598700594"/>
    <n v="3.7480733171394599E-3"/>
    <n v="1.4214957189337751E-2"/>
    <s v="Bad"/>
  </r>
  <r>
    <x v="2"/>
    <s v="Social_MK~JED_TG"/>
    <s v="Interests"/>
    <x v="0"/>
    <x v="1"/>
    <s v="Video"/>
    <x v="0"/>
    <n v="631.9"/>
    <n v="1435006"/>
    <n v="336515"/>
    <n v="5757"/>
    <n v="201450"/>
    <n v="197754"/>
    <n v="6812"/>
    <n v="0.59863602000000005"/>
    <n v="0.13780708930833738"/>
    <n v="0.13780708930833738"/>
    <n v="0.44034659088533423"/>
    <n v="4.0118299156937324E-3"/>
    <n v="1.7107706937283629E-2"/>
    <s v="Bad"/>
  </r>
  <r>
    <x v="2"/>
    <s v="Social_MK~JED_TG"/>
    <s v="Interests"/>
    <x v="0"/>
    <x v="1"/>
    <s v="Video"/>
    <x v="1"/>
    <n v="410.74"/>
    <n v="1530173"/>
    <n v="479356"/>
    <n v="5623"/>
    <n v="64862"/>
    <n v="64038"/>
    <n v="3434"/>
    <n v="0.13531071"/>
    <n v="4.1850169882751823E-2"/>
    <n v="4.1850169882751823E-2"/>
    <n v="0.26842716477156503"/>
    <n v="3.6747478879839077E-3"/>
    <n v="1.173032151469889E-2"/>
    <s v="Bad"/>
  </r>
  <r>
    <x v="2"/>
    <s v="Social_MK~JED_TG"/>
    <s v="Interests"/>
    <x v="0"/>
    <x v="0"/>
    <s v="Video"/>
    <x v="0"/>
    <n v="339.29"/>
    <n v="723097"/>
    <n v="287236"/>
    <n v="3639"/>
    <n v="108445"/>
    <n v="106020"/>
    <n v="3058"/>
    <n v="0.37754669000000002"/>
    <n v="0.14661933322915183"/>
    <n v="0.14661933322915183"/>
    <n v="0.46921782278172913"/>
    <n v="5.0325198417363092E-3"/>
    <n v="1.266902477405339E-2"/>
    <s v="Bad"/>
  </r>
  <r>
    <x v="2"/>
    <s v="Social_MK~JED_TG"/>
    <s v="Interests"/>
    <x v="0"/>
    <x v="0"/>
    <s v="Static"/>
    <x v="1"/>
    <n v="308.31"/>
    <n v="1102753"/>
    <n v="331260"/>
    <n v="3087"/>
    <n v="2006"/>
    <n v="0"/>
    <n v="0"/>
    <n v="6.05567E-3"/>
    <n v="0"/>
    <n v="0"/>
    <n v="0.27958210043409543"/>
    <n v="2.7993576077326473E-3"/>
    <n v="9.3189639558051082E-3"/>
    <s v="Bad"/>
  </r>
  <r>
    <x v="2"/>
    <s v="Social_MK~JED_TG"/>
    <s v="Interests"/>
    <x v="0"/>
    <x v="0"/>
    <s v="Video"/>
    <x v="1"/>
    <n v="275.41000000000003"/>
    <n v="421925"/>
    <n v="138112"/>
    <n v="3275"/>
    <n v="104545"/>
    <n v="102084"/>
    <n v="1793"/>
    <n v="0.75695811999999996"/>
    <n v="0.24194821354506132"/>
    <n v="0.24194821354506132"/>
    <n v="0.65274634117437935"/>
    <n v="7.7620430171238966E-3"/>
    <n v="2.3712639017608901E-2"/>
    <s v="Bad"/>
  </r>
  <r>
    <x v="2"/>
    <s v="Social_MK~JED_TG"/>
    <s v="Interests"/>
    <x v="0"/>
    <x v="1"/>
    <s v="Video"/>
    <x v="1"/>
    <n v="262.14999999999998"/>
    <n v="931135"/>
    <n v="406400"/>
    <n v="2955"/>
    <n v="35071"/>
    <n v="33857"/>
    <n v="1080"/>
    <n v="8.6296750000000005E-2"/>
    <n v="3.6361000284598904E-2"/>
    <n v="3.6361000284598904E-2"/>
    <n v="0.28153812282859092"/>
    <n v="3.1735462634311889E-3"/>
    <n v="7.2711614173228342E-3"/>
    <s v="Bad"/>
  </r>
  <r>
    <x v="2"/>
    <s v="Social_MK~JED_TG"/>
    <s v="Interests"/>
    <x v="0"/>
    <x v="1"/>
    <s v="Video"/>
    <x v="1"/>
    <n v="192.92"/>
    <n v="169985"/>
    <n v="98082"/>
    <n v="2219"/>
    <n v="128951"/>
    <n v="126826"/>
    <n v="269"/>
    <n v="1.31472645"/>
    <n v="0.7461011265699915"/>
    <n v="0.7461011265699915"/>
    <n v="1.1349236697355649"/>
    <n v="1.3054093008206607E-2"/>
    <n v="2.2623926918292861E-2"/>
    <s v="Bad"/>
  </r>
  <r>
    <x v="2"/>
    <s v="Social_MK~JED_TG"/>
    <s v="CDP"/>
    <x v="1"/>
    <x v="0"/>
    <s v="Video"/>
    <x v="0"/>
    <n v="184.8"/>
    <n v="79353"/>
    <n v="5990"/>
    <n v="540"/>
    <n v="16179"/>
    <n v="15784"/>
    <n v="293"/>
    <n v="2.7010016700000001"/>
    <n v="0.19890867390016762"/>
    <n v="0.19890867390016762"/>
    <n v="2.3288344486030774"/>
    <n v="6.8050357264375638E-3"/>
    <n v="9.0150250417362271E-2"/>
    <s v="Bad"/>
  </r>
  <r>
    <x v="2"/>
    <s v="Social_MK~JED_TG"/>
    <s v="Interests"/>
    <x v="0"/>
    <x v="1"/>
    <s v="Video"/>
    <x v="0"/>
    <n v="161.28"/>
    <n v="573917"/>
    <n v="270516"/>
    <n v="2167"/>
    <n v="31096"/>
    <n v="30585"/>
    <n v="961"/>
    <n v="0.11495068999999999"/>
    <n v="5.3291678064946675E-2"/>
    <n v="5.3291678064946675E-2"/>
    <n v="0.28101624450922347"/>
    <n v="3.7758073031466223E-3"/>
    <n v="8.010616747253398E-3"/>
    <s v="Bad"/>
  </r>
  <r>
    <x v="2"/>
    <s v="Social_MK~JED_TG"/>
    <s v="Interests"/>
    <x v="0"/>
    <x v="0"/>
    <s v="Video"/>
    <x v="1"/>
    <n v="158.44999999999999"/>
    <n v="558614"/>
    <n v="255024"/>
    <n v="1860"/>
    <n v="23268"/>
    <n v="22655"/>
    <n v="733"/>
    <n v="9.1238470000000002E-2"/>
    <n v="4.0555732580995103E-2"/>
    <n v="4.0555732580995103E-2"/>
    <n v="0.28364845850623149"/>
    <n v="3.3296695034496092E-3"/>
    <n v="7.293431206474685E-3"/>
    <s v="Bad"/>
  </r>
  <r>
    <x v="2"/>
    <s v="Social_MK~JED_TG"/>
    <s v="Interests"/>
    <x v="0"/>
    <x v="0"/>
    <s v="Static"/>
    <x v="1"/>
    <n v="152.9"/>
    <n v="537940"/>
    <n v="197021"/>
    <n v="1654"/>
    <n v="1118"/>
    <n v="0"/>
    <n v="0"/>
    <n v="5.6745199999999997E-3"/>
    <n v="0"/>
    <n v="0"/>
    <n v="0.28423244227980821"/>
    <n v="3.0746923448711754E-3"/>
    <n v="8.3950441831073842E-3"/>
    <s v="Bad"/>
  </r>
  <r>
    <x v="2"/>
    <s v="Social_MK~JED_TG"/>
    <s v="Interests"/>
    <x v="0"/>
    <x v="0"/>
    <s v="Video"/>
    <x v="1"/>
    <n v="149.79"/>
    <n v="178283"/>
    <n v="98768"/>
    <n v="1625"/>
    <n v="77246"/>
    <n v="75894"/>
    <n v="1014"/>
    <n v="0.78209541999999999"/>
    <n v="0.42569398091797872"/>
    <n v="0.42569398091797872"/>
    <n v="0.84018106044883689"/>
    <n v="9.1147220991345222E-3"/>
    <n v="1.6452697229872019E-2"/>
    <s v="Bad"/>
  </r>
  <r>
    <x v="2"/>
    <s v="Social_MK~JED_TG"/>
    <s v="Interests"/>
    <x v="0"/>
    <x v="1"/>
    <s v="Video"/>
    <x v="0"/>
    <n v="111.18"/>
    <n v="160470"/>
    <n v="93569"/>
    <n v="1028"/>
    <n v="58602"/>
    <n v="57741"/>
    <n v="326"/>
    <n v="0.62629716999999996"/>
    <n v="0.35982426621798469"/>
    <n v="0.35982426621798469"/>
    <n v="0.69283978313703498"/>
    <n v="6.4061818408425253E-3"/>
    <n v="1.098654468894612E-2"/>
    <s v="Bad"/>
  </r>
  <r>
    <x v="2"/>
    <s v="Social_MK~JED_TG"/>
    <s v="Interests"/>
    <x v="0"/>
    <x v="1"/>
    <s v="Video"/>
    <x v="1"/>
    <n v="109.61"/>
    <n v="95633"/>
    <n v="61184"/>
    <n v="1360"/>
    <n v="74535"/>
    <n v="73201"/>
    <n v="202"/>
    <n v="1.2182106399999999"/>
    <n v="0.76543661706733035"/>
    <n v="0.76543661706733035"/>
    <n v="1.146152478746876"/>
    <n v="1.4221032488785252E-2"/>
    <n v="2.222803347280335E-2"/>
    <s v="Bad"/>
  </r>
  <r>
    <x v="2"/>
    <s v="Social_MK~JED_TG"/>
    <s v="CDP"/>
    <x v="1"/>
    <x v="1"/>
    <s v="Video"/>
    <x v="0"/>
    <n v="100.12"/>
    <n v="57678"/>
    <n v="3518"/>
    <n v="318"/>
    <n v="8555"/>
    <n v="8354"/>
    <n v="320"/>
    <n v="2.4317794199999998"/>
    <n v="0.14483858663615243"/>
    <n v="0.14483858663615243"/>
    <n v="1.7358438226013386"/>
    <n v="5.5133673150941434E-3"/>
    <n v="9.0392268334280837E-2"/>
    <s v="Bad"/>
  </r>
  <r>
    <x v="2"/>
    <s v="Social_MK~JED_TG"/>
    <s v="Interests"/>
    <x v="0"/>
    <x v="1"/>
    <s v="Static"/>
    <x v="1"/>
    <n v="88.64"/>
    <n v="303640"/>
    <n v="162048"/>
    <n v="829"/>
    <n v="562"/>
    <n v="0"/>
    <n v="0"/>
    <n v="3.4681099999999999E-3"/>
    <n v="0"/>
    <n v="0"/>
    <n v="0.29192464760901066"/>
    <n v="2.7302068238703727E-3"/>
    <n v="5.1157681674565561E-3"/>
    <s v="Bad"/>
  </r>
  <r>
    <x v="2"/>
    <s v="Social_MK~JED_TG"/>
    <s v="Interests"/>
    <x v="0"/>
    <x v="0"/>
    <s v="Static"/>
    <x v="1"/>
    <n v="83.81"/>
    <n v="277350"/>
    <n v="118689"/>
    <n v="872"/>
    <n v="589"/>
    <n v="0"/>
    <n v="0"/>
    <n v="4.9625499999999996E-3"/>
    <n v="0"/>
    <n v="0"/>
    <n v="0.30218135929331169"/>
    <n v="3.1440418244095907E-3"/>
    <n v="7.3469318976484774E-3"/>
    <s v="Bad"/>
  </r>
  <r>
    <x v="2"/>
    <s v="Social_MK~JED_TG"/>
    <s v="Interests"/>
    <x v="0"/>
    <x v="0"/>
    <s v="Video"/>
    <x v="0"/>
    <n v="83.69"/>
    <n v="156769"/>
    <n v="49026"/>
    <n v="422"/>
    <n v="27611"/>
    <n v="27351"/>
    <n v="207"/>
    <n v="0.56319096000000002"/>
    <n v="0.17446689077559976"/>
    <n v="0.17446689077559976"/>
    <n v="0.53384278779605654"/>
    <n v="2.6918587220687764E-3"/>
    <n v="8.6076775588463262E-3"/>
    <s v="Bad"/>
  </r>
  <r>
    <x v="2"/>
    <s v="Social_MK~JED_TG"/>
    <s v="CDP"/>
    <x v="1"/>
    <x v="0"/>
    <s v="Video"/>
    <x v="1"/>
    <n v="76.5"/>
    <n v="17765"/>
    <n v="3702"/>
    <n v="347"/>
    <n v="12144"/>
    <n v="11809"/>
    <n v="63"/>
    <n v="3.2803889800000001"/>
    <n v="0.6647340275823248"/>
    <n v="0.6647340275823248"/>
    <n v="4.3062200956937797"/>
    <n v="1.9532789192231916E-2"/>
    <n v="9.3733117233927604E-2"/>
    <s v="Good"/>
  </r>
  <r>
    <x v="2"/>
    <s v="Social_MK~JED_TG"/>
    <s v="CDP"/>
    <x v="1"/>
    <x v="1"/>
    <s v="Static"/>
    <x v="1"/>
    <n v="71.87"/>
    <n v="46090"/>
    <n v="3718"/>
    <n v="158"/>
    <n v="77"/>
    <n v="0"/>
    <n v="0"/>
    <n v="2.0710059999999999E-2"/>
    <n v="0"/>
    <n v="0"/>
    <n v="1.5593404209156001"/>
    <n v="3.4280755044478195E-3"/>
    <n v="4.249596557288865E-2"/>
    <s v="Bad"/>
  </r>
  <r>
    <x v="2"/>
    <s v="Social_MK~JED_TG"/>
    <s v="Interests"/>
    <x v="0"/>
    <x v="0"/>
    <s v="Video"/>
    <x v="1"/>
    <n v="65.819999999999993"/>
    <n v="240485"/>
    <n v="123995"/>
    <n v="783"/>
    <n v="9265"/>
    <n v="9122"/>
    <n v="467"/>
    <n v="7.4720750000000002E-2"/>
    <n v="3.7931679730544524E-2"/>
    <n v="3.7931679730544524E-2"/>
    <n v="0.27369690417281739"/>
    <n v="3.2559203276711643E-3"/>
    <n v="6.3147707568853581E-3"/>
    <s v="Bad"/>
  </r>
  <r>
    <x v="2"/>
    <s v="Social_MK~JED_TG"/>
    <s v="Interests"/>
    <x v="0"/>
    <x v="0"/>
    <s v="Video"/>
    <x v="0"/>
    <n v="58.05"/>
    <n v="203258"/>
    <n v="99100"/>
    <n v="629"/>
    <n v="9933"/>
    <n v="9862"/>
    <n v="390"/>
    <n v="0.10023209"/>
    <n v="4.8519615464089977E-2"/>
    <n v="4.8519615464089977E-2"/>
    <n v="0.2855976148540279"/>
    <n v="3.0945891428627655E-3"/>
    <n v="6.3471241170534806E-3"/>
    <s v="Bad"/>
  </r>
  <r>
    <x v="2"/>
    <s v="Social_MK~JED_TG"/>
    <s v="CDP"/>
    <x v="1"/>
    <x v="0"/>
    <s v="Video"/>
    <x v="1"/>
    <n v="54.56"/>
    <n v="15753"/>
    <n v="3720"/>
    <n v="319"/>
    <n v="7917"/>
    <n v="7617"/>
    <n v="68"/>
    <n v="2.12822581"/>
    <n v="0.48352694724814321"/>
    <n v="0.48352694724814321"/>
    <n v="3.4634672760743985"/>
    <n v="2.0250111089951121E-2"/>
    <n v="8.5752688172043012E-2"/>
    <s v="Good"/>
  </r>
  <r>
    <x v="2"/>
    <s v="Social_MK~JED_TG"/>
    <s v="Interests"/>
    <x v="0"/>
    <x v="0"/>
    <s v="Video"/>
    <x v="1"/>
    <n v="51.73"/>
    <n v="186875"/>
    <n v="107585"/>
    <n v="576"/>
    <n v="6845"/>
    <n v="6756"/>
    <n v="179"/>
    <n v="6.3624109999999998E-2"/>
    <n v="3.6152508361204011E-2"/>
    <n v="3.6152508361204011E-2"/>
    <n v="0.27681605351170568"/>
    <n v="3.0822742474916386E-3"/>
    <n v="5.3539062136914997E-3"/>
    <s v="Bad"/>
  </r>
  <r>
    <x v="2"/>
    <s v="Social_MK~JED_TG"/>
    <s v="CDP"/>
    <x v="1"/>
    <x v="1"/>
    <s v="Video"/>
    <x v="1"/>
    <n v="48.09"/>
    <n v="10599"/>
    <n v="2243"/>
    <n v="268"/>
    <n v="7891"/>
    <n v="7635"/>
    <n v="37"/>
    <n v="3.5180561699999999"/>
    <n v="0.72035097650721769"/>
    <n v="0.72035097650721769"/>
    <n v="4.5372204924992925"/>
    <n v="2.5285404283422963E-2"/>
    <n v="0.1194828354881855"/>
    <s v="Good"/>
  </r>
  <r>
    <x v="2"/>
    <s v="Social_MK~JED_TG"/>
    <s v="Interests"/>
    <x v="0"/>
    <x v="0"/>
    <s v="Video"/>
    <x v="1"/>
    <n v="47.21"/>
    <n v="173235"/>
    <n v="80319"/>
    <n v="356"/>
    <n v="3606"/>
    <n v="3521"/>
    <n v="3045"/>
    <n v="4.4895980000000002E-2"/>
    <n v="2.0324992062804862E-2"/>
    <n v="2.0324992062804862E-2"/>
    <n v="0.27251998730048776"/>
    <n v="2.0550119779490289E-3"/>
    <n v="4.4323260996775356E-3"/>
    <s v="Bad"/>
  </r>
  <r>
    <x v="2"/>
    <s v="Social_MK~JED_TG"/>
    <s v="Interests"/>
    <x v="0"/>
    <x v="1"/>
    <s v="Video"/>
    <x v="1"/>
    <n v="47.13"/>
    <n v="173380"/>
    <n v="88016"/>
    <n v="499"/>
    <n v="4830"/>
    <n v="4785"/>
    <n v="215"/>
    <n v="5.4876389999999997E-2"/>
    <n v="2.7598338908755335E-2"/>
    <n v="2.7598338908755335E-2"/>
    <n v="0.27183066097589115"/>
    <n v="2.8780712884992504E-3"/>
    <n v="5.6694237411379746E-3"/>
    <s v="Bad"/>
  </r>
  <r>
    <x v="2"/>
    <s v="Social_MK~JED_TG"/>
    <s v="CDP"/>
    <x v="1"/>
    <x v="0"/>
    <s v="Video"/>
    <x v="0"/>
    <n v="45.87"/>
    <n v="21048"/>
    <n v="3980"/>
    <n v="166"/>
    <n v="4773"/>
    <n v="4637"/>
    <n v="109"/>
    <n v="1.19924623"/>
    <n v="0.22030596731280883"/>
    <n v="0.22030596731280883"/>
    <n v="2.1793044469783349"/>
    <n v="7.8867350817179785E-3"/>
    <n v="4.1708542713567838E-2"/>
    <s v="Bad"/>
  </r>
  <r>
    <x v="2"/>
    <s v="Social_MK~JED_TG"/>
    <s v="CDP"/>
    <x v="1"/>
    <x v="0"/>
    <s v="Video"/>
    <x v="0"/>
    <n v="45.16"/>
    <n v="20750"/>
    <n v="2290"/>
    <n v="116"/>
    <n v="4509"/>
    <n v="4416"/>
    <n v="43"/>
    <n v="1.96899563"/>
    <n v="0.21281927710843374"/>
    <n v="0.21281927710843374"/>
    <n v="2.1763855421686742"/>
    <n v="5.5903614457831329E-3"/>
    <n v="5.0655021834061127E-2"/>
    <s v="Bad"/>
  </r>
  <r>
    <x v="2"/>
    <s v="Social_MK~JED_TG"/>
    <s v="Interests"/>
    <x v="0"/>
    <x v="1"/>
    <s v="Static"/>
    <x v="1"/>
    <n v="42.08"/>
    <n v="143711"/>
    <n v="70528"/>
    <n v="404"/>
    <n v="261"/>
    <n v="0"/>
    <n v="0"/>
    <n v="3.7006600000000001E-3"/>
    <n v="0"/>
    <n v="0"/>
    <n v="0.29280987537488429"/>
    <n v="2.8111974727056386E-3"/>
    <n v="5.7282214156079859E-3"/>
    <s v="Bad"/>
  </r>
  <r>
    <x v="2"/>
    <s v="Social_MK~JED_TG"/>
    <s v="CDP"/>
    <x v="1"/>
    <x v="1"/>
    <s v="Video"/>
    <x v="1"/>
    <n v="41.73"/>
    <n v="24096"/>
    <n v="3998"/>
    <n v="119"/>
    <n v="2213"/>
    <n v="2157"/>
    <n v="63"/>
    <n v="0.55352676000000001"/>
    <n v="8.9516932270916338E-2"/>
    <n v="8.9516932270916338E-2"/>
    <n v="1.7318227091633467"/>
    <n v="4.9385790172642762E-3"/>
    <n v="2.9764882441220612E-2"/>
    <s v="Bad"/>
  </r>
  <r>
    <x v="2"/>
    <s v="Social_MK~JED_TG"/>
    <s v="CDP"/>
    <x v="1"/>
    <x v="1"/>
    <s v="Video"/>
    <x v="1"/>
    <n v="40.67"/>
    <n v="24375"/>
    <n v="3528"/>
    <n v="111"/>
    <n v="2077"/>
    <n v="2011"/>
    <n v="69"/>
    <n v="0.58871881999999998"/>
    <n v="8.2502564102564097E-2"/>
    <n v="8.2502564102564097E-2"/>
    <n v="1.6685128205128206"/>
    <n v="4.553846153846154E-3"/>
    <n v="3.1462585034013613E-2"/>
    <s v="Bad"/>
  </r>
  <r>
    <x v="2"/>
    <s v="Social_MK~JED_TG"/>
    <s v="Interests"/>
    <x v="0"/>
    <x v="1"/>
    <s v="Video"/>
    <x v="0"/>
    <n v="37.83"/>
    <n v="132892"/>
    <n v="74140"/>
    <n v="496"/>
    <n v="6799"/>
    <n v="6726"/>
    <n v="319"/>
    <n v="9.1704880000000003E-2"/>
    <n v="5.0612527465912167E-2"/>
    <n v="5.0612527465912167E-2"/>
    <n v="0.28466724859284226"/>
    <n v="3.7323540920446677E-3"/>
    <n v="6.6900458591853248E-3"/>
    <s v="Bad"/>
  </r>
  <r>
    <x v="2"/>
    <s v="Social_MK~JED_TG"/>
    <s v="Interests"/>
    <x v="0"/>
    <x v="1"/>
    <s v="Video"/>
    <x v="0"/>
    <n v="36.36"/>
    <n v="127873"/>
    <n v="62111"/>
    <n v="386"/>
    <n v="4244"/>
    <n v="4183"/>
    <n v="141"/>
    <n v="6.8329280000000006E-2"/>
    <n v="3.2712144080454829E-2"/>
    <n v="3.2712144080454829E-2"/>
    <n v="0.28434462318081222"/>
    <n v="3.0186200370680284E-3"/>
    <n v="6.214680169374185E-3"/>
    <s v="Bad"/>
  </r>
  <r>
    <x v="2"/>
    <s v="Social_MK~JED_TG"/>
    <s v="CDP"/>
    <x v="1"/>
    <x v="1"/>
    <s v="Static"/>
    <x v="1"/>
    <n v="36.270000000000003"/>
    <n v="23252"/>
    <n v="4603"/>
    <n v="98"/>
    <n v="51"/>
    <n v="0"/>
    <n v="0"/>
    <n v="1.1079729999999999E-2"/>
    <n v="0"/>
    <n v="0"/>
    <n v="1.5598658179941514"/>
    <n v="4.2146912093583349E-3"/>
    <n v="2.1290462741690198E-2"/>
    <s v="Bad"/>
  </r>
  <r>
    <x v="2"/>
    <s v="Social_MK~JED_TG"/>
    <s v="CDP"/>
    <x v="1"/>
    <x v="0"/>
    <s v="Video"/>
    <x v="0"/>
    <n v="32.340000000000003"/>
    <n v="20295"/>
    <n v="3369"/>
    <n v="113"/>
    <n v="2221"/>
    <n v="2192"/>
    <n v="80"/>
    <n v="0.65924607000000002"/>
    <n v="0.10800689825080069"/>
    <n v="0.10800689825080069"/>
    <n v="1.5934959349593498"/>
    <n v="5.5678738605567874E-3"/>
    <n v="3.3541110121697831E-2"/>
    <s v="Bad"/>
  </r>
  <r>
    <x v="2"/>
    <s v="Social_MK~JED_TG"/>
    <s v="CDP"/>
    <x v="1"/>
    <x v="0"/>
    <s v="Video"/>
    <x v="1"/>
    <n v="29.59"/>
    <n v="18515"/>
    <n v="2723"/>
    <n v="104"/>
    <n v="1678"/>
    <n v="1668"/>
    <n v="37"/>
    <n v="0.61623209999999995"/>
    <n v="9.008911693221712E-2"/>
    <n v="9.008911693221712E-2"/>
    <n v="1.5981636510937076"/>
    <n v="5.6170672427761272E-3"/>
    <n v="3.8193169298567753E-2"/>
    <s v="Bad"/>
  </r>
  <r>
    <x v="2"/>
    <s v="Social_MK~JED_TG"/>
    <s v="CDP"/>
    <x v="1"/>
    <x v="0"/>
    <s v="Static"/>
    <x v="1"/>
    <n v="29.04"/>
    <n v="18765"/>
    <n v="2543"/>
    <n v="95"/>
    <n v="59"/>
    <n v="0"/>
    <n v="0"/>
    <n v="2.320094E-2"/>
    <n v="0"/>
    <n v="0"/>
    <n v="1.5475619504396483"/>
    <n v="5.0626165734079407E-3"/>
    <n v="3.7357451828548958E-2"/>
    <s v="Bad"/>
  </r>
  <r>
    <x v="2"/>
    <s v="Social_MK~JED_TG"/>
    <s v="Interests"/>
    <x v="0"/>
    <x v="0"/>
    <s v="Video"/>
    <x v="0"/>
    <n v="26.54"/>
    <n v="95231"/>
    <n v="51725"/>
    <n v="274"/>
    <n v="3914"/>
    <n v="3854"/>
    <n v="97"/>
    <n v="7.5669410000000006E-2"/>
    <n v="4.0470015016118702E-2"/>
    <n v="4.0470015016118702E-2"/>
    <n v="0.27869076246180341"/>
    <n v="2.877214352469259E-3"/>
    <n v="5.2972450459159012E-3"/>
    <s v="Bad"/>
  </r>
  <r>
    <x v="2"/>
    <s v="Social_MK~JED_TG"/>
    <s v="Interests"/>
    <x v="0"/>
    <x v="1"/>
    <s v="Static"/>
    <x v="1"/>
    <n v="24.48"/>
    <n v="83528"/>
    <n v="50080"/>
    <n v="198"/>
    <n v="130"/>
    <n v="0"/>
    <n v="0"/>
    <n v="2.5958499999999998E-3"/>
    <n v="0"/>
    <n v="0"/>
    <n v="0.29307537592184657"/>
    <n v="2.3704625993678768E-3"/>
    <n v="3.9536741214057508E-3"/>
    <s v="Bad"/>
  </r>
  <r>
    <x v="2"/>
    <s v="Social_MK~JED_TG"/>
    <s v="Interests"/>
    <x v="0"/>
    <x v="0"/>
    <s v="Carousel"/>
    <x v="1"/>
    <n v="23.57"/>
    <n v="72350"/>
    <n v="48112"/>
    <n v="150"/>
    <n v="2638"/>
    <n v="2556"/>
    <n v="2657"/>
    <n v="5.4830400000000001E-2"/>
    <n v="3.5328265376641327E-2"/>
    <n v="3.5328265376641327E-2"/>
    <n v="0.32577747062888734"/>
    <n v="2.0732550103662751E-3"/>
    <n v="3.1177253076155641E-3"/>
    <s v="Bad"/>
  </r>
  <r>
    <x v="2"/>
    <s v="Social_MK~JED_TG"/>
    <s v="Interests"/>
    <x v="0"/>
    <x v="1"/>
    <s v="Video"/>
    <x v="1"/>
    <n v="22.21"/>
    <n v="80209"/>
    <n v="34991"/>
    <n v="164"/>
    <n v="1332"/>
    <n v="1297"/>
    <n v="1129"/>
    <n v="3.8066929999999999E-2"/>
    <n v="1.61702552082684E-2"/>
    <n v="1.61702552082684E-2"/>
    <n v="0.27690159458414892"/>
    <n v="2.0446583301125809E-3"/>
    <n v="4.6869194935840646E-3"/>
    <s v="Bad"/>
  </r>
  <r>
    <x v="2"/>
    <s v="Social_MK~JED_TG"/>
    <s v="CDP"/>
    <x v="1"/>
    <x v="1"/>
    <s v="Video"/>
    <x v="1"/>
    <n v="21.19"/>
    <n v="4992"/>
    <n v="1922"/>
    <n v="138"/>
    <n v="3624"/>
    <n v="3489"/>
    <n v="17"/>
    <n v="1.8855359"/>
    <n v="0.69891826923076927"/>
    <n v="0.69891826923076927"/>
    <n v="4.244791666666667"/>
    <n v="2.7644230769230768E-2"/>
    <n v="7.1800208116545264E-2"/>
    <s v="Good"/>
  </r>
  <r>
    <x v="2"/>
    <s v="Social_MK~JED_TG"/>
    <s v="CDP"/>
    <x v="1"/>
    <x v="0"/>
    <s v="Video"/>
    <x v="1"/>
    <n v="20.82"/>
    <n v="12106"/>
    <n v="3172"/>
    <n v="65"/>
    <n v="883"/>
    <n v="862"/>
    <n v="22"/>
    <n v="0.27837327000000001"/>
    <n v="7.1204361473649433E-2"/>
    <n v="7.1204361473649433E-2"/>
    <n v="1.7198083594911615"/>
    <n v="5.3692383941847015E-3"/>
    <n v="2.049180327868852E-2"/>
    <s v="Bad"/>
  </r>
  <r>
    <x v="2"/>
    <s v="Social_MK~JED_TG"/>
    <s v="CDP"/>
    <x v="1"/>
    <x v="0"/>
    <s v="Video"/>
    <x v="1"/>
    <n v="18.93"/>
    <n v="11918"/>
    <n v="3332"/>
    <n v="55"/>
    <n v="627"/>
    <n v="614"/>
    <n v="572"/>
    <n v="0.18817527000000001"/>
    <n v="5.151871119315321E-2"/>
    <n v="5.151871119315321E-2"/>
    <n v="1.5883537506293002"/>
    <n v="4.6148682664876655E-3"/>
    <n v="1.6506602641056418E-2"/>
    <s v="Bad"/>
  </r>
  <r>
    <x v="2"/>
    <s v="Social_MK~JED_TG"/>
    <s v="Interests"/>
    <x v="0"/>
    <x v="1"/>
    <s v="Video"/>
    <x v="2"/>
    <n v="18.02"/>
    <n v="62862"/>
    <n v="48929"/>
    <n v="26"/>
    <n v="3375"/>
    <n v="3348"/>
    <n v="48"/>
    <n v="6.8977499999999997E-2"/>
    <n v="5.3259520855206646E-2"/>
    <n v="5.3259520855206646E-2"/>
    <n v="0.28665966720753394"/>
    <n v="4.1360440329610894E-4"/>
    <n v="5.3138220687118072E-4"/>
    <s v="Bad"/>
  </r>
  <r>
    <x v="2"/>
    <s v="Social_MK~JED_TG"/>
    <s v="CDP"/>
    <x v="1"/>
    <x v="0"/>
    <s v="Static"/>
    <x v="1"/>
    <n v="17.29"/>
    <n v="11352"/>
    <n v="2919"/>
    <n v="63"/>
    <n v="40"/>
    <n v="0"/>
    <n v="0"/>
    <n v="1.370332E-2"/>
    <n v="0"/>
    <n v="0"/>
    <n v="1.5230796335447498"/>
    <n v="5.549682875264271E-3"/>
    <n v="2.1582733812949641E-2"/>
    <s v="Bad"/>
  </r>
  <r>
    <x v="2"/>
    <s v="Social_MK~JED_TG"/>
    <s v="CDP"/>
    <x v="1"/>
    <x v="1"/>
    <s v="Video"/>
    <x v="0"/>
    <n v="15.92"/>
    <n v="6410"/>
    <n v="1788"/>
    <n v="53"/>
    <n v="1836"/>
    <n v="1790"/>
    <n v="18"/>
    <n v="1.0268456399999999"/>
    <n v="0.27925117004680189"/>
    <n v="0.27925117004680189"/>
    <n v="2.4836193447737909"/>
    <n v="8.2683307332293288E-3"/>
    <n v="2.9642058165548098E-2"/>
    <s v="Bad"/>
  </r>
  <r>
    <x v="2"/>
    <s v="Social_MK~JED_TG"/>
    <s v="CDP"/>
    <x v="1"/>
    <x v="1"/>
    <s v="Static"/>
    <x v="1"/>
    <n v="15.76"/>
    <n v="10926"/>
    <n v="4157"/>
    <n v="43"/>
    <n v="20"/>
    <n v="0"/>
    <n v="0"/>
    <n v="4.8111600000000001E-3"/>
    <n v="0"/>
    <n v="0"/>
    <n v="1.4424308987735677"/>
    <n v="3.9355665385319418E-3"/>
    <n v="1.034399807553524E-2"/>
    <s v="Bad"/>
  </r>
  <r>
    <x v="2"/>
    <s v="Social_MK~JED_TG"/>
    <s v="Interests"/>
    <x v="0"/>
    <x v="1"/>
    <s v="Carousel"/>
    <x v="1"/>
    <n v="15.25"/>
    <n v="49199"/>
    <n v="33904"/>
    <n v="84"/>
    <n v="1880"/>
    <n v="1836"/>
    <n v="1865"/>
    <n v="5.5450680000000002E-2"/>
    <n v="3.7317831663245191E-2"/>
    <n v="3.7317831663245191E-2"/>
    <n v="0.30996564970832741"/>
    <n v="1.7073517754425903E-3"/>
    <n v="2.477583765927324E-3"/>
    <s v="Bad"/>
  </r>
  <r>
    <x v="2"/>
    <s v="Social_MK~JED_TG"/>
    <s v="CDP"/>
    <x v="1"/>
    <x v="0"/>
    <s v="Static"/>
    <x v="1"/>
    <n v="14.93"/>
    <n v="9349"/>
    <n v="2830"/>
    <n v="36"/>
    <n v="21"/>
    <n v="0"/>
    <n v="0"/>
    <n v="7.4204900000000001E-3"/>
    <n v="0"/>
    <n v="0"/>
    <n v="1.5969622419510108"/>
    <n v="3.8506792170285593E-3"/>
    <n v="1.27208480565371E-2"/>
    <s v="Bad"/>
  </r>
  <r>
    <x v="2"/>
    <s v="Social_MK~JED_TG"/>
    <s v="CDP"/>
    <x v="1"/>
    <x v="1"/>
    <s v="Video"/>
    <x v="0"/>
    <n v="14.78"/>
    <n v="9120"/>
    <n v="1397"/>
    <n v="39"/>
    <n v="729"/>
    <n v="717"/>
    <n v="16"/>
    <n v="0.52183250000000003"/>
    <n v="7.8618421052631574E-2"/>
    <n v="7.8618421052631574E-2"/>
    <n v="1.6206140350877192"/>
    <n v="4.2763157894736845E-3"/>
    <n v="2.7916964924838941E-2"/>
    <s v="Bad"/>
  </r>
  <r>
    <x v="2"/>
    <s v="Social_MK~JED_TG"/>
    <s v="CDP"/>
    <x v="1"/>
    <x v="1"/>
    <s v="Video"/>
    <x v="0"/>
    <n v="13.05"/>
    <n v="7876"/>
    <n v="1972"/>
    <n v="42"/>
    <n v="855"/>
    <n v="837"/>
    <n v="27"/>
    <n v="0.43356998000000002"/>
    <n v="0.10627221940071102"/>
    <n v="0.10627221940071102"/>
    <n v="1.6569324530218386"/>
    <n v="5.3326561706449971E-3"/>
    <n v="2.1298174442190669E-2"/>
    <s v="Bad"/>
  </r>
  <r>
    <x v="2"/>
    <s v="Social_MK~JED_TG"/>
    <s v="CDP"/>
    <x v="1"/>
    <x v="1"/>
    <s v="Video"/>
    <x v="2"/>
    <n v="11.41"/>
    <n v="6416"/>
    <n v="2238"/>
    <n v="3"/>
    <n v="281"/>
    <n v="275"/>
    <n v="4"/>
    <n v="0.12555853"/>
    <n v="4.2861596009975064E-2"/>
    <n v="4.2861596009975064E-2"/>
    <n v="1.7783665835411473"/>
    <n v="4.6758104738154612E-4"/>
    <n v="1.340482573726542E-3"/>
    <s v="Bad"/>
  </r>
  <r>
    <x v="2"/>
    <s v="Social_MK~JED_TG"/>
    <s v="CDP"/>
    <x v="1"/>
    <x v="1"/>
    <s v="Video"/>
    <x v="2"/>
    <n v="10.94"/>
    <n v="6112"/>
    <n v="2150"/>
    <n v="2"/>
    <n v="373"/>
    <n v="370"/>
    <n v="4"/>
    <n v="0.17348837"/>
    <n v="6.0536649214659684E-2"/>
    <n v="6.0536649214659684E-2"/>
    <n v="1.7899214659685863"/>
    <n v="3.2722513089005238E-4"/>
    <n v="9.3023255813953494E-4"/>
    <s v="Bad"/>
  </r>
  <r>
    <x v="2"/>
    <s v="Social_MK~JED_TG"/>
    <s v="CDP"/>
    <x v="1"/>
    <x v="0"/>
    <s v="Video"/>
    <x v="1"/>
    <n v="10.09"/>
    <n v="6364"/>
    <n v="1884"/>
    <n v="40"/>
    <n v="443"/>
    <n v="427"/>
    <n v="26"/>
    <n v="0.23513800000000001"/>
    <n v="6.7096165933375237E-2"/>
    <n v="6.7096165933375237E-2"/>
    <n v="1.5854808296668763"/>
    <n v="6.285355122564425E-3"/>
    <n v="2.1231422505307851E-2"/>
    <s v="Bad"/>
  </r>
  <r>
    <x v="2"/>
    <s v="Social_MK~JED_TG"/>
    <s v="CDP"/>
    <x v="1"/>
    <x v="1"/>
    <s v="Video"/>
    <x v="0"/>
    <n v="9.9"/>
    <n v="4230"/>
    <n v="837"/>
    <n v="29"/>
    <n v="1171"/>
    <n v="1148"/>
    <n v="6"/>
    <n v="1.39904421"/>
    <n v="0.27139479905437353"/>
    <n v="0.27139479905437353"/>
    <n v="2.3404255319148937"/>
    <n v="6.8557919621749413E-3"/>
    <n v="3.4647550776583033E-2"/>
    <s v="Bad"/>
  </r>
  <r>
    <x v="2"/>
    <s v="Social_MK~JED_TG"/>
    <s v="Interests"/>
    <x v="0"/>
    <x v="1"/>
    <s v="Video"/>
    <x v="1"/>
    <n v="9.68"/>
    <n v="12546"/>
    <n v="10228"/>
    <n v="189"/>
    <n v="6079"/>
    <n v="5894"/>
    <n v="16"/>
    <n v="0.59434885000000004"/>
    <n v="0.46979116849992031"/>
    <n v="0.46979116849992031"/>
    <n v="0.77156065678303831"/>
    <n v="1.5064562410329985E-2"/>
    <n v="1.84786859601095E-2"/>
    <s v="Good"/>
  </r>
  <r>
    <x v="2"/>
    <s v="Social_MK~JED_TG"/>
    <s v="CDP"/>
    <x v="1"/>
    <x v="1"/>
    <s v="Video"/>
    <x v="1"/>
    <n v="9.61"/>
    <n v="6223"/>
    <n v="2004"/>
    <n v="22"/>
    <n v="324"/>
    <n v="317"/>
    <n v="279"/>
    <n v="0.16167665000000001"/>
    <n v="5.0940061063795596E-2"/>
    <n v="5.0940061063795596E-2"/>
    <n v="1.5442712518078097"/>
    <n v="3.5352723766672025E-3"/>
    <n v="1.0978043912175651E-2"/>
    <s v="Bad"/>
  </r>
  <r>
    <x v="2"/>
    <s v="Social_MK~JED_TG"/>
    <s v="CDP"/>
    <x v="1"/>
    <x v="1"/>
    <s v="Carousel"/>
    <x v="1"/>
    <n v="8.7100000000000009"/>
    <n v="4787"/>
    <n v="1733"/>
    <n v="8"/>
    <n v="369"/>
    <n v="363"/>
    <n v="422"/>
    <n v="0.21292556000000001"/>
    <n v="7.5830373929392098E-2"/>
    <n v="7.5830373929392098E-2"/>
    <n v="1.8195111761019429"/>
    <n v="1.6711928138709003E-3"/>
    <n v="4.6162723600692438E-3"/>
    <s v="Bad"/>
  </r>
  <r>
    <x v="2"/>
    <s v="Social_MK~JED_TG"/>
    <s v="Interests"/>
    <x v="0"/>
    <x v="1"/>
    <s v="Video"/>
    <x v="2"/>
    <n v="7.75"/>
    <n v="27122"/>
    <n v="23256"/>
    <n v="8"/>
    <n v="981"/>
    <n v="973"/>
    <n v="12"/>
    <n v="4.2182659999999997E-2"/>
    <n v="3.5874935476734753E-2"/>
    <n v="3.5874935476734753E-2"/>
    <n v="0.28574588894624292"/>
    <n v="2.9496349826708945E-4"/>
    <n v="3.4399724802201581E-4"/>
    <s v="Bad"/>
  </r>
  <r>
    <x v="2"/>
    <s v="Social_MK~JED_TG"/>
    <s v="CDP"/>
    <x v="1"/>
    <x v="0"/>
    <s v="Video"/>
    <x v="0"/>
    <n v="7.57"/>
    <n v="4606"/>
    <n v="1873"/>
    <n v="18"/>
    <n v="530"/>
    <n v="524"/>
    <n v="27"/>
    <n v="0.28296850000000001"/>
    <n v="0.11376465479808945"/>
    <n v="0.11376465479808945"/>
    <n v="1.643508467216674"/>
    <n v="3.9079461571862786E-3"/>
    <n v="9.6102509343299527E-3"/>
    <s v="Bad"/>
  </r>
  <r>
    <x v="2"/>
    <s v="Social_MK~JED_TG"/>
    <s v="Interests"/>
    <x v="0"/>
    <x v="0"/>
    <s v="Video"/>
    <x v="2"/>
    <n v="7.42"/>
    <n v="26209"/>
    <n v="23827"/>
    <n v="27"/>
    <n v="2094"/>
    <n v="2068"/>
    <n v="60"/>
    <n v="8.7883489999999995E-2"/>
    <n v="7.8904193216070811E-2"/>
    <n v="7.8904193216070811E-2"/>
    <n v="0.28310885573657907"/>
    <n v="1.0301804723568239E-3"/>
    <n v="1.1331682545011961E-3"/>
    <s v="Bad"/>
  </r>
  <r>
    <x v="2"/>
    <s v="Social_MK~JED_TG"/>
    <s v="Interests"/>
    <x v="0"/>
    <x v="0"/>
    <s v="Video"/>
    <x v="1"/>
    <n v="7.16"/>
    <n v="9427"/>
    <n v="8040"/>
    <n v="144"/>
    <n v="4703"/>
    <n v="4566"/>
    <n v="21"/>
    <n v="0.58495025"/>
    <n v="0.48435345284820197"/>
    <n v="0.48435345284820197"/>
    <n v="0.75952052614829746"/>
    <n v="1.527527315158587E-2"/>
    <n v="1.7910447761194031E-2"/>
    <s v="Good"/>
  </r>
  <r>
    <x v="2"/>
    <s v="Social_MK~JED_TG"/>
    <s v="Interests"/>
    <x v="0"/>
    <x v="0"/>
    <s v="Video"/>
    <x v="2"/>
    <n v="7.13"/>
    <n v="25375"/>
    <n v="21113"/>
    <n v="17"/>
    <n v="995"/>
    <n v="980"/>
    <n v="15"/>
    <n v="4.712736E-2"/>
    <n v="3.8620689655172416E-2"/>
    <n v="3.8620689655172416E-2"/>
    <n v="0.28098522167487683"/>
    <n v="6.6995073891625619E-4"/>
    <n v="8.0519111447923081E-4"/>
    <s v="Bad"/>
  </r>
  <r>
    <x v="2"/>
    <s v="Social_MK~JED_TG"/>
    <s v="Interests"/>
    <x v="0"/>
    <x v="1"/>
    <s v="Video"/>
    <x v="0"/>
    <n v="7.11"/>
    <n v="12662"/>
    <n v="6982"/>
    <n v="55"/>
    <n v="3264"/>
    <n v="3216"/>
    <n v="18"/>
    <n v="0.46748782999999999"/>
    <n v="0.25398831148317802"/>
    <n v="0.25398831148317802"/>
    <n v="0.56152266624545888"/>
    <n v="4.3437055757384298E-3"/>
    <n v="7.877399026067029E-3"/>
    <s v="Bad"/>
  </r>
  <r>
    <x v="2"/>
    <s v="Social_MK~JED_TG"/>
    <s v="CDP"/>
    <x v="1"/>
    <x v="0"/>
    <s v="Video"/>
    <x v="0"/>
    <n v="6.83"/>
    <n v="4185"/>
    <n v="1169"/>
    <n v="23"/>
    <n v="505"/>
    <n v="497"/>
    <n v="14"/>
    <n v="0.43199315999999999"/>
    <n v="0.11875746714456392"/>
    <n v="0.11875746714456392"/>
    <n v="1.6320191158900836"/>
    <n v="5.4958183990442052E-3"/>
    <n v="1.9674935842600511E-2"/>
    <s v="Bad"/>
  </r>
  <r>
    <x v="2"/>
    <s v="Social_MK~JED_TG"/>
    <s v="CDP"/>
    <x v="1"/>
    <x v="1"/>
    <s v="Video"/>
    <x v="0"/>
    <n v="6.4"/>
    <n v="4041"/>
    <n v="1505"/>
    <n v="13"/>
    <n v="381"/>
    <n v="378"/>
    <n v="27"/>
    <n v="0.25315615000000002"/>
    <n v="9.3541202672605794E-2"/>
    <n v="9.3541202672605794E-2"/>
    <n v="1.5837663944568179"/>
    <n v="3.2170254887404106E-3"/>
    <n v="8.6378737541528243E-3"/>
    <s v="Bad"/>
  </r>
  <r>
    <x v="2"/>
    <s v="Social_MK~JED_TG"/>
    <s v="CDP"/>
    <x v="1"/>
    <x v="1"/>
    <s v="Video"/>
    <x v="1"/>
    <n v="6.32"/>
    <n v="1663"/>
    <n v="742"/>
    <n v="31"/>
    <n v="1071"/>
    <n v="1041"/>
    <n v="4"/>
    <n v="1.4433962300000001"/>
    <n v="0.62597714972940466"/>
    <n v="0.62597714972940466"/>
    <n v="3.800360793746242"/>
    <n v="1.8641010222489478E-2"/>
    <n v="4.1778975741239892E-2"/>
    <s v="Good"/>
  </r>
  <r>
    <x v="2"/>
    <s v="Social_MK~JED_TG"/>
    <s v="CDP"/>
    <x v="1"/>
    <x v="1"/>
    <s v="Video"/>
    <x v="1"/>
    <n v="5.96"/>
    <n v="3823"/>
    <n v="1213"/>
    <n v="19"/>
    <n v="255"/>
    <n v="251"/>
    <n v="7"/>
    <n v="0.21022258999999999"/>
    <n v="6.5655244572325397E-2"/>
    <n v="6.5655244572325397E-2"/>
    <n v="1.5589850902432645"/>
    <n v="4.9699189118493333E-3"/>
    <n v="1.5663643858202798E-2"/>
    <s v="Bad"/>
  </r>
  <r>
    <x v="2"/>
    <s v="Social_MK~JED_TG"/>
    <s v="Interests"/>
    <x v="0"/>
    <x v="0"/>
    <s v="Video"/>
    <x v="2"/>
    <n v="5.84"/>
    <n v="20806"/>
    <n v="13256"/>
    <n v="8"/>
    <n v="843"/>
    <n v="834"/>
    <n v="14"/>
    <n v="6.3593839999999999E-2"/>
    <n v="4.008459098337018E-2"/>
    <n v="4.008459098337018E-2"/>
    <n v="0.28068826300105737"/>
    <n v="3.8450446986446215E-4"/>
    <n v="6.0350030175015089E-4"/>
    <s v="Bad"/>
  </r>
  <r>
    <x v="2"/>
    <s v="Social_MK~JED_TG"/>
    <s v="CDP"/>
    <x v="1"/>
    <x v="0"/>
    <s v="Carousel"/>
    <x v="1"/>
    <n v="5.38"/>
    <n v="3032"/>
    <n v="1038"/>
    <n v="7"/>
    <n v="232"/>
    <n v="227"/>
    <n v="281"/>
    <n v="0.22350674000000001"/>
    <n v="7.4868073878627969E-2"/>
    <n v="7.4868073878627969E-2"/>
    <n v="1.7744063324538257"/>
    <n v="2.3087071240105541E-3"/>
    <n v="6.7437379576107898E-3"/>
    <s v="Bad"/>
  </r>
  <r>
    <x v="2"/>
    <s v="Social_MK~JED_TG"/>
    <s v="CDP"/>
    <x v="1"/>
    <x v="1"/>
    <s v="Video"/>
    <x v="2"/>
    <n v="5.27"/>
    <n v="2951"/>
    <n v="1522"/>
    <n v="4"/>
    <n v="210"/>
    <n v="208"/>
    <n v="12"/>
    <n v="0.13797635"/>
    <n v="7.0484581497797363E-2"/>
    <n v="7.0484581497797363E-2"/>
    <n v="1.7858353100643849"/>
    <n v="1.3554727211114877E-3"/>
    <n v="2.6281208935611039E-3"/>
    <s v="Bad"/>
  </r>
  <r>
    <x v="2"/>
    <s v="Social_MK~JED_TG"/>
    <s v="Interests"/>
    <x v="0"/>
    <x v="1"/>
    <s v="Video"/>
    <x v="2"/>
    <n v="5.19"/>
    <n v="17344"/>
    <n v="14490"/>
    <n v="16"/>
    <n v="906"/>
    <n v="891"/>
    <n v="34"/>
    <n v="6.2525880000000006E-2"/>
    <n v="5.1372232472324725E-2"/>
    <n v="5.1372232472324725E-2"/>
    <n v="0.29923892988929895"/>
    <n v="9.225092250922509E-4"/>
    <n v="1.1042097998619741E-3"/>
    <s v="Bad"/>
  </r>
  <r>
    <x v="2"/>
    <s v="Social_MK~JED_TG"/>
    <s v="CDP"/>
    <x v="1"/>
    <x v="0"/>
    <s v="Video"/>
    <x v="2"/>
    <n v="4.63"/>
    <n v="2673"/>
    <n v="1363"/>
    <n v="0"/>
    <n v="143"/>
    <n v="143"/>
    <n v="1"/>
    <n v="0.10491563"/>
    <n v="5.3497942386831275E-2"/>
    <n v="5.3497942386831275E-2"/>
    <n v="1.7321361765806209"/>
    <n v="0"/>
    <n v="0"/>
    <s v="Bad"/>
  </r>
  <r>
    <x v="2"/>
    <s v="Social_MK~JED_TG"/>
    <s v="CDP"/>
    <x v="1"/>
    <x v="0"/>
    <s v="Video"/>
    <x v="2"/>
    <n v="3.8"/>
    <n v="2239"/>
    <n v="965"/>
    <n v="1"/>
    <n v="155"/>
    <n v="153"/>
    <n v="2"/>
    <n v="0.16062176"/>
    <n v="6.8334077713264857E-2"/>
    <n v="6.8334077713264857E-2"/>
    <n v="1.6971862438588654"/>
    <n v="4.4662795891022776E-4"/>
    <n v="1.036269430051813E-3"/>
    <s v="Bad"/>
  </r>
  <r>
    <x v="2"/>
    <s v="Social_MK~JED_TG"/>
    <s v="CDP"/>
    <x v="1"/>
    <x v="0"/>
    <s v="Video"/>
    <x v="2"/>
    <n v="3.19"/>
    <n v="1873"/>
    <n v="1081"/>
    <n v="1"/>
    <n v="178"/>
    <n v="177"/>
    <n v="3"/>
    <n v="0.16466235000000001"/>
    <n v="9.4500800854244532E-2"/>
    <n v="9.4500800854244532E-2"/>
    <n v="1.7031500266951414"/>
    <n v="5.339028296849973E-4"/>
    <n v="9.2506938020351531E-4"/>
    <s v="Bad"/>
  </r>
  <r>
    <x v="2"/>
    <s v="Social_MK~JED_TG"/>
    <s v="CDP"/>
    <x v="1"/>
    <x v="0"/>
    <s v="Video"/>
    <x v="1"/>
    <n v="2.85"/>
    <n v="846"/>
    <n v="415"/>
    <n v="13"/>
    <n v="494"/>
    <n v="481"/>
    <n v="3"/>
    <n v="1.1903614499999999"/>
    <n v="0.5685579196217494"/>
    <n v="0.5685579196217494"/>
    <n v="3.3687943262411348"/>
    <n v="1.5366430260047281E-2"/>
    <n v="3.1325301204819279E-2"/>
    <s v="Good"/>
  </r>
  <r>
    <x v="2"/>
    <s v="Social_MK~JED_TG"/>
    <s v="CDP"/>
    <x v="1"/>
    <x v="0"/>
    <s v="Video"/>
    <x v="1"/>
    <n v="0.92"/>
    <n v="404"/>
    <n v="255"/>
    <n v="1"/>
    <n v="88"/>
    <n v="87"/>
    <n v="74"/>
    <n v="0.34509803999999999"/>
    <n v="0.21534653465346534"/>
    <n v="0.21534653465346534"/>
    <n v="2.2772277227722775"/>
    <n v="2.4752475247524753E-3"/>
    <n v="3.9215686274509803E-3"/>
    <s v="Bad"/>
  </r>
  <r>
    <x v="2"/>
    <s v="Social_MK~JED_TG"/>
    <s v="Interests"/>
    <x v="0"/>
    <x v="0"/>
    <s v="Video"/>
    <x v="1"/>
    <n v="0.62"/>
    <n v="1281"/>
    <n v="776"/>
    <n v="3"/>
    <n v="186"/>
    <n v="185"/>
    <n v="175"/>
    <n v="0.23969072"/>
    <n v="0.14441842310694769"/>
    <n v="0.14441842310694769"/>
    <n v="0.48399687743950037"/>
    <n v="2.34192037470726E-3"/>
    <n v="3.8659793814432991E-3"/>
    <s v="Bad"/>
  </r>
  <r>
    <x v="2"/>
    <s v="Social_MK~JED_TG"/>
    <s v="CDP"/>
    <x v="1"/>
    <x v="1"/>
    <s v="Video"/>
    <x v="1"/>
    <n v="0.51"/>
    <n v="172"/>
    <n v="134"/>
    <n v="1"/>
    <n v="54"/>
    <n v="53"/>
    <n v="47"/>
    <n v="0.40298507"/>
    <n v="0.30813953488372092"/>
    <n v="0.30813953488372092"/>
    <n v="2.9651162790697674"/>
    <n v="5.8139534883720929E-3"/>
    <n v="7.462686567164179E-3"/>
    <s v="Bad"/>
  </r>
  <r>
    <x v="2"/>
    <s v="Social_MK~JED_TG"/>
    <s v="Interests"/>
    <x v="0"/>
    <x v="1"/>
    <s v="Video"/>
    <x v="1"/>
    <n v="0.5"/>
    <n v="1237"/>
    <n v="926"/>
    <n v="7"/>
    <n v="143"/>
    <n v="140"/>
    <n v="115"/>
    <n v="0.15442765"/>
    <n v="0.11317704122877931"/>
    <n v="0.11317704122877931"/>
    <n v="0.40420371867421179"/>
    <n v="5.6588520614389648E-3"/>
    <n v="7.5593952483801298E-3"/>
    <s v="Bad"/>
  </r>
  <r>
    <x v="2"/>
    <s v="Social_MK~JED_TG"/>
    <s v="CDP"/>
    <x v="1"/>
    <x v="0"/>
    <s v="Video"/>
    <x v="2"/>
    <n v="0"/>
    <n v="1"/>
    <n v="1"/>
    <n v="0"/>
    <n v="0"/>
    <n v="0"/>
    <n v="0"/>
    <n v="0"/>
    <n v="0"/>
    <n v="0"/>
    <n v="0"/>
    <n v="0"/>
    <n v="0"/>
    <s v="Bad"/>
  </r>
  <r>
    <x v="2"/>
    <s v="Social_MK~JED_TG"/>
    <s v="CDP"/>
    <x v="1"/>
    <x v="0"/>
    <s v="Video"/>
    <x v="2"/>
    <n v="0"/>
    <n v="2"/>
    <n v="2"/>
    <n v="0"/>
    <n v="0"/>
    <n v="0"/>
    <n v="0"/>
    <n v="0"/>
    <n v="0"/>
    <n v="0"/>
    <n v="0"/>
    <n v="0"/>
    <n v="0"/>
    <s v="Bad"/>
  </r>
  <r>
    <x v="2"/>
    <s v="Social_MK~JED_TG"/>
    <s v="CDP"/>
    <x v="1"/>
    <x v="1"/>
    <s v="Video"/>
    <x v="2"/>
    <n v="0"/>
    <n v="2"/>
    <n v="1"/>
    <n v="0"/>
    <n v="0"/>
    <n v="0"/>
    <n v="0"/>
    <n v="0"/>
    <n v="0"/>
    <n v="0"/>
    <n v="0"/>
    <n v="0"/>
    <n v="0"/>
    <s v="Bad"/>
  </r>
  <r>
    <x v="2"/>
    <s v="Social_MK~JED_TG"/>
    <s v="CDP"/>
    <x v="1"/>
    <x v="1"/>
    <s v="Video"/>
    <x v="2"/>
    <n v="0"/>
    <n v="7"/>
    <n v="4"/>
    <n v="0"/>
    <n v="0"/>
    <n v="0"/>
    <n v="0"/>
    <n v="0"/>
    <n v="0"/>
    <n v="0"/>
    <n v="0"/>
    <n v="0"/>
    <n v="0"/>
    <s v="Bad"/>
  </r>
  <r>
    <x v="2"/>
    <s v="Social_MK~JED_TG"/>
    <s v="CDP"/>
    <x v="1"/>
    <x v="1"/>
    <s v="Video"/>
    <x v="2"/>
    <n v="0"/>
    <n v="4"/>
    <n v="2"/>
    <n v="0"/>
    <n v="0"/>
    <n v="0"/>
    <n v="0"/>
    <n v="0"/>
    <n v="0"/>
    <n v="0"/>
    <n v="0"/>
    <n v="0"/>
    <n v="0"/>
    <s v="Bad"/>
  </r>
  <r>
    <x v="2"/>
    <s v="Social_MK~JED_TG"/>
    <s v="Interests"/>
    <x v="0"/>
    <x v="0"/>
    <s v="Video"/>
    <x v="2"/>
    <n v="0"/>
    <n v="1"/>
    <n v="1"/>
    <n v="0"/>
    <n v="1"/>
    <n v="1"/>
    <n v="0"/>
    <n v="1"/>
    <n v="1"/>
    <n v="1"/>
    <n v="0"/>
    <n v="0"/>
    <n v="0"/>
    <s v="Bad"/>
  </r>
  <r>
    <x v="2"/>
    <s v="Social_MK~JED_TG"/>
    <s v="Interests"/>
    <x v="0"/>
    <x v="0"/>
    <s v="Video"/>
    <x v="2"/>
    <n v="0"/>
    <n v="4"/>
    <n v="4"/>
    <n v="0"/>
    <n v="1"/>
    <n v="1"/>
    <n v="0"/>
    <n v="0.25"/>
    <n v="0.25"/>
    <n v="0.25"/>
    <n v="0"/>
    <n v="0"/>
    <n v="0"/>
    <s v="Bad"/>
  </r>
  <r>
    <x v="2"/>
    <s v="Social_MK~JED_TG"/>
    <s v="Interests"/>
    <x v="0"/>
    <x v="0"/>
    <s v="Video"/>
    <x v="2"/>
    <n v="0"/>
    <n v="2"/>
    <n v="2"/>
    <n v="0"/>
    <n v="0"/>
    <n v="0"/>
    <n v="0"/>
    <n v="0"/>
    <n v="0"/>
    <n v="0"/>
    <n v="0"/>
    <n v="0"/>
    <n v="0"/>
    <s v="Bad"/>
  </r>
  <r>
    <x v="2"/>
    <s v="Social_MK~JED_TG"/>
    <s v="Interests"/>
    <x v="0"/>
    <x v="1"/>
    <s v="Video"/>
    <x v="2"/>
    <n v="0"/>
    <n v="1"/>
    <n v="1"/>
    <n v="0"/>
    <n v="0"/>
    <n v="0"/>
    <n v="0"/>
    <n v="0"/>
    <n v="0"/>
    <n v="0"/>
    <n v="0"/>
    <n v="0"/>
    <n v="0"/>
    <s v="Bad"/>
  </r>
  <r>
    <x v="3"/>
    <s v="Social_MK~KW_TG"/>
    <s v="Interests"/>
    <x v="0"/>
    <x v="0"/>
    <s v="Video"/>
    <x v="0"/>
    <n v="1613.83"/>
    <n v="2835346"/>
    <n v="451331"/>
    <n v="9696"/>
    <n v="524690"/>
    <n v="517974"/>
    <n v="7711"/>
    <n v="1.16253925"/>
    <n v="0.18268458241075339"/>
    <n v="0.18268458241075339"/>
    <n v="0.5691827381913882"/>
    <n v="3.41968846130243E-3"/>
    <n v="2.1483124358840849E-2"/>
    <s v="Bad"/>
  </r>
  <r>
    <x v="3"/>
    <s v="Social_MK~KW_TG"/>
    <s v="Interests"/>
    <x v="0"/>
    <x v="0"/>
    <s v="Video"/>
    <x v="1"/>
    <n v="837.03"/>
    <n v="1118842"/>
    <n v="294721"/>
    <n v="9408"/>
    <n v="365767"/>
    <n v="358257"/>
    <n v="7123"/>
    <n v="1.2410618899999999"/>
    <n v="0.32020338886098304"/>
    <n v="0.32020338886098304"/>
    <n v="0.74812171870559019"/>
    <n v="8.4086939889635899E-3"/>
    <n v="3.1921715792223831E-2"/>
    <s v="Bad"/>
  </r>
  <r>
    <x v="3"/>
    <s v="Social_MK~KW_TG"/>
    <s v="Interests"/>
    <x v="0"/>
    <x v="1"/>
    <s v="Video"/>
    <x v="1"/>
    <n v="362.25"/>
    <n v="1054459"/>
    <n v="325566"/>
    <n v="3112"/>
    <n v="44847"/>
    <n v="43765"/>
    <n v="1865"/>
    <n v="0.13775087"/>
    <n v="4.1504695772903451E-2"/>
    <n v="4.1504695772903451E-2"/>
    <n v="0.34354109548118988"/>
    <n v="2.9512764365423405E-3"/>
    <n v="9.5587377060258136E-3"/>
    <s v="Bad"/>
  </r>
  <r>
    <x v="3"/>
    <s v="Social_MK~KW_TG"/>
    <s v="Interests"/>
    <x v="0"/>
    <x v="1"/>
    <s v="Video"/>
    <x v="0"/>
    <n v="346"/>
    <n v="1058827"/>
    <n v="290734"/>
    <n v="3600"/>
    <n v="54659"/>
    <n v="53762"/>
    <n v="2562"/>
    <n v="0.18800347000000001"/>
    <n v="5.0775055792872677E-2"/>
    <n v="5.0775055792872677E-2"/>
    <n v="0.32677670667635034"/>
    <n v="3.3999888555920846E-3"/>
    <n v="1.238245268871202E-2"/>
    <s v="Bad"/>
  </r>
  <r>
    <x v="3"/>
    <s v="Social_MK~KW_TG"/>
    <s v="Interests"/>
    <x v="0"/>
    <x v="1"/>
    <s v="Video"/>
    <x v="1"/>
    <n v="331.31"/>
    <n v="273187"/>
    <n v="126754"/>
    <n v="2582"/>
    <n v="220354"/>
    <n v="217862"/>
    <n v="264"/>
    <n v="1.7384382300000001"/>
    <n v="0.79748304275093618"/>
    <n v="0.79748304275093618"/>
    <n v="1.2127590258687271"/>
    <n v="9.4514014210046599E-3"/>
    <n v="2.0370165833030911E-2"/>
    <s v="Bad"/>
  </r>
  <r>
    <x v="3"/>
    <s v="Social_MK~KW_TG"/>
    <s v="Interests"/>
    <x v="0"/>
    <x v="0"/>
    <s v="Video"/>
    <x v="0"/>
    <n v="315.75"/>
    <n v="963960"/>
    <n v="317428"/>
    <n v="3418"/>
    <n v="68563"/>
    <n v="68252"/>
    <n v="2149"/>
    <n v="0.21599544000000001"/>
    <n v="7.0803767791194655E-2"/>
    <n v="7.0803767791194655E-2"/>
    <n v="0.32755508527324789"/>
    <n v="3.5457902817544297E-3"/>
    <n v="1.076779616164926E-2"/>
    <s v="Bad"/>
  </r>
  <r>
    <x v="3"/>
    <s v="Social_MK~KW_TG"/>
    <s v="Interests"/>
    <x v="0"/>
    <x v="0"/>
    <s v="Static"/>
    <x v="1"/>
    <n v="310.16000000000003"/>
    <n v="930094"/>
    <n v="230653"/>
    <n v="2632"/>
    <n v="1627"/>
    <n v="0"/>
    <n v="0"/>
    <n v="7.0538900000000002E-3"/>
    <n v="0"/>
    <n v="0"/>
    <n v="0.33347167060533667"/>
    <n v="2.8298215019127099E-3"/>
    <n v="1.1411080714319779E-2"/>
    <s v="Bad"/>
  </r>
  <r>
    <x v="3"/>
    <s v="Social_MK~KW_TG"/>
    <s v="Interests"/>
    <x v="0"/>
    <x v="0"/>
    <s v="Static"/>
    <x v="1"/>
    <n v="269.08"/>
    <n v="787533"/>
    <n v="261952"/>
    <n v="1716"/>
    <n v="1145"/>
    <n v="0"/>
    <n v="0"/>
    <n v="4.3710299999999997E-3"/>
    <n v="0"/>
    <n v="0"/>
    <n v="0.34167457109733812"/>
    <n v="2.178956310402231E-3"/>
    <n v="6.5508184705594906E-3"/>
    <s v="Bad"/>
  </r>
  <r>
    <x v="3"/>
    <s v="Social_MK~KW_TG"/>
    <s v="Interests"/>
    <x v="0"/>
    <x v="1"/>
    <s v="Video"/>
    <x v="0"/>
    <n v="244.29"/>
    <n v="516329"/>
    <n v="145185"/>
    <n v="1492"/>
    <n v="73755"/>
    <n v="72873"/>
    <n v="2380"/>
    <n v="0.50800703000000003"/>
    <n v="0.14113675582816382"/>
    <n v="0.14113675582816382"/>
    <n v="0.47312856725072577"/>
    <n v="2.889630448802992E-3"/>
    <n v="1.027654372008127E-2"/>
    <s v="Bad"/>
  </r>
  <r>
    <x v="3"/>
    <s v="Social_MK~KW_TG"/>
    <s v="Interests"/>
    <x v="0"/>
    <x v="1"/>
    <s v="Video"/>
    <x v="1"/>
    <n v="217.65"/>
    <n v="652991"/>
    <n v="240706"/>
    <n v="2074"/>
    <n v="28449"/>
    <n v="27876"/>
    <n v="1630"/>
    <n v="0.11818982"/>
    <n v="4.2689715478467546E-2"/>
    <n v="4.2689715478467546E-2"/>
    <n v="0.33331240399944256"/>
    <n v="3.1761540358136637E-3"/>
    <n v="8.6163203243791175E-3"/>
    <s v="Bad"/>
  </r>
  <r>
    <x v="3"/>
    <s v="Social_MK~KW_TG"/>
    <s v="Interests"/>
    <x v="0"/>
    <x v="1"/>
    <s v="Video"/>
    <x v="0"/>
    <n v="190.02"/>
    <n v="566544"/>
    <n v="190832"/>
    <n v="2073"/>
    <n v="34666"/>
    <n v="34460"/>
    <n v="1773"/>
    <n v="0.18165716000000001"/>
    <n v="6.0824931514586685E-2"/>
    <n v="6.0824931514586685E-2"/>
    <n v="0.3354020164364992"/>
    <n v="3.6590273659239175E-3"/>
    <n v="1.086295799446634E-2"/>
    <s v="Bad"/>
  </r>
  <r>
    <x v="3"/>
    <s v="Social_MK~KW_TG"/>
    <s v="Interests"/>
    <x v="0"/>
    <x v="0"/>
    <s v="Video"/>
    <x v="1"/>
    <n v="156.15"/>
    <n v="471421"/>
    <n v="199424"/>
    <n v="2150"/>
    <n v="34072"/>
    <n v="33803"/>
    <n v="1176"/>
    <n v="0.17085205000000001"/>
    <n v="7.1704484950818909E-2"/>
    <n v="7.1704484950818909E-2"/>
    <n v="0.33123259252345572"/>
    <n v="4.5606793078797935E-3"/>
    <n v="1.078104942233633E-2"/>
    <s v="Bad"/>
  </r>
  <r>
    <x v="3"/>
    <s v="Social_MK~KW_TG"/>
    <s v="Interests"/>
    <x v="0"/>
    <x v="1"/>
    <s v="Static"/>
    <x v="1"/>
    <n v="140.93"/>
    <n v="406893"/>
    <n v="168096"/>
    <n v="879"/>
    <n v="525"/>
    <n v="0"/>
    <n v="0"/>
    <n v="3.1232199999999999E-3"/>
    <n v="0"/>
    <n v="0"/>
    <n v="0.34635641311106363"/>
    <n v="2.1602730939092097E-3"/>
    <n v="5.2291547687035979E-3"/>
    <s v="Bad"/>
  </r>
  <r>
    <x v="3"/>
    <s v="Social_MK~KW_TG"/>
    <s v="Interests"/>
    <x v="0"/>
    <x v="0"/>
    <s v="Video"/>
    <x v="0"/>
    <n v="128.71"/>
    <n v="204978"/>
    <n v="100608"/>
    <n v="1039"/>
    <n v="53972"/>
    <n v="53088"/>
    <n v="674"/>
    <n v="0.53645832999999998"/>
    <n v="0.25899364809882036"/>
    <n v="0.25899364809882036"/>
    <n v="0.62792104518533698"/>
    <n v="5.0688366556410928E-3"/>
    <n v="1.032721055979644E-2"/>
    <s v="Bad"/>
  </r>
  <r>
    <x v="3"/>
    <s v="Social_MK~KW_TG"/>
    <s v="Interests"/>
    <x v="0"/>
    <x v="1"/>
    <s v="Video"/>
    <x v="1"/>
    <n v="112.46"/>
    <n v="93208"/>
    <n v="63216"/>
    <n v="1168"/>
    <n v="74347"/>
    <n v="73220"/>
    <n v="176"/>
    <n v="1.17607884"/>
    <n v="0.78555488799244699"/>
    <n v="0.78555488799244699"/>
    <n v="1.2065487940949273"/>
    <n v="1.2531113209166595E-2"/>
    <n v="1.8476335105036702E-2"/>
    <s v="Bad"/>
  </r>
  <r>
    <x v="3"/>
    <s v="Social_MK~KW_TG"/>
    <s v="Interests"/>
    <x v="0"/>
    <x v="0"/>
    <s v="Static"/>
    <x v="1"/>
    <n v="103.99"/>
    <n v="292473"/>
    <n v="118272"/>
    <n v="928"/>
    <n v="656"/>
    <n v="0"/>
    <n v="0"/>
    <n v="5.54654E-3"/>
    <n v="0"/>
    <n v="0"/>
    <n v="0.35555418790794363"/>
    <n v="3.1729424596458476E-3"/>
    <n v="7.846320346320346E-3"/>
    <s v="Bad"/>
  </r>
  <r>
    <x v="3"/>
    <s v="Social_MK~KW_TG"/>
    <s v="Interests"/>
    <x v="0"/>
    <x v="1"/>
    <s v="Video"/>
    <x v="0"/>
    <n v="82.8"/>
    <n v="122112"/>
    <n v="69058"/>
    <n v="638"/>
    <n v="43476"/>
    <n v="42935"/>
    <n v="249"/>
    <n v="0.62955775999999997"/>
    <n v="0.35160344601677151"/>
    <n v="0.35160344601677151"/>
    <n v="0.67806603773584906"/>
    <n v="5.2247117400419287E-3"/>
    <n v="9.2386110226186681E-3"/>
    <s v="Bad"/>
  </r>
  <r>
    <x v="3"/>
    <s v="Social_MK~KW_TG"/>
    <s v="Interests"/>
    <x v="0"/>
    <x v="1"/>
    <s v="Video"/>
    <x v="1"/>
    <n v="82.04"/>
    <n v="248920"/>
    <n v="109983"/>
    <n v="716"/>
    <n v="8140"/>
    <n v="8081"/>
    <n v="355"/>
    <n v="7.4011439999999998E-2"/>
    <n v="3.246424554073598E-2"/>
    <n v="3.246424554073598E-2"/>
    <n v="0.32958380202474696"/>
    <n v="2.8764261610155872E-3"/>
    <n v="6.5100970149932274E-3"/>
    <s v="Bad"/>
  </r>
  <r>
    <x v="3"/>
    <s v="Social_MK~KW_TG"/>
    <s v="Interests"/>
    <x v="0"/>
    <x v="0"/>
    <s v="Video"/>
    <x v="1"/>
    <n v="60.33"/>
    <n v="169566"/>
    <n v="92606"/>
    <n v="657"/>
    <n v="9488"/>
    <n v="9248"/>
    <n v="241"/>
    <n v="0.10245556"/>
    <n v="5.4539235459938905E-2"/>
    <n v="5.4539235459938905E-2"/>
    <n v="0.35579066558154349"/>
    <n v="3.8745975018576839E-3"/>
    <n v="7.0945727058721901E-3"/>
    <s v="Bad"/>
  </r>
  <r>
    <x v="3"/>
    <s v="Social_MK~KW_TG"/>
    <s v="Interests"/>
    <x v="0"/>
    <x v="0"/>
    <s v="Video"/>
    <x v="1"/>
    <n v="50"/>
    <n v="151813"/>
    <n v="69550"/>
    <n v="668"/>
    <n v="7851"/>
    <n v="7714"/>
    <n v="223"/>
    <n v="0.11288281999999999"/>
    <n v="5.0812512762411652E-2"/>
    <n v="5.0812512762411652E-2"/>
    <n v="0.32935255874002883"/>
    <n v="4.4001501847667854E-3"/>
    <n v="9.6046010064701655E-3"/>
    <s v="Bad"/>
  </r>
  <r>
    <x v="3"/>
    <s v="Social_MK~KW_TG"/>
    <s v="Interests"/>
    <x v="0"/>
    <x v="0"/>
    <s v="Video"/>
    <x v="1"/>
    <n v="45.33"/>
    <n v="72489"/>
    <n v="34840"/>
    <n v="463"/>
    <n v="19008"/>
    <n v="18692"/>
    <n v="362"/>
    <n v="0.54557979000000001"/>
    <n v="0.25785981321303925"/>
    <n v="0.25785981321303925"/>
    <n v="0.62533625791499392"/>
    <n v="6.387175985321911E-3"/>
    <n v="1.3289322617680829E-2"/>
    <s v="Bad"/>
  </r>
  <r>
    <x v="3"/>
    <s v="Social_MK~KW_TG"/>
    <s v="Interests"/>
    <x v="0"/>
    <x v="1"/>
    <s v="Video"/>
    <x v="0"/>
    <n v="42.56"/>
    <n v="129422"/>
    <n v="62751"/>
    <n v="347"/>
    <n v="5382"/>
    <n v="5325"/>
    <n v="200"/>
    <n v="8.5767560000000007E-2"/>
    <n v="4.114447311894423E-2"/>
    <n v="4.114447311894423E-2"/>
    <n v="0.32884671848681063"/>
    <n v="2.6811515816476334E-3"/>
    <n v="5.5297923539067107E-3"/>
    <s v="Bad"/>
  </r>
  <r>
    <x v="3"/>
    <s v="Social_MK~KW_TG"/>
    <s v="Interests"/>
    <x v="0"/>
    <x v="0"/>
    <s v="Video"/>
    <x v="0"/>
    <n v="41.75"/>
    <n v="124241"/>
    <n v="52349"/>
    <n v="318"/>
    <n v="6445"/>
    <n v="6374"/>
    <n v="183"/>
    <n v="0.12311601"/>
    <n v="5.1303514942732269E-2"/>
    <n v="5.1303514942732269E-2"/>
    <n v="0.33604043753672297"/>
    <n v="2.559541536207854E-3"/>
    <n v="6.0746146058186399E-3"/>
    <s v="Bad"/>
  </r>
  <r>
    <x v="3"/>
    <s v="Social_MK~KW_TG"/>
    <s v="Interests"/>
    <x v="0"/>
    <x v="1"/>
    <s v="Video"/>
    <x v="1"/>
    <n v="41.35"/>
    <n v="124219"/>
    <n v="43942"/>
    <n v="290"/>
    <n v="2394"/>
    <n v="2324"/>
    <n v="2133"/>
    <n v="5.448091E-2"/>
    <n v="1.8708893164491744E-2"/>
    <n v="1.8708893164491744E-2"/>
    <n v="0.33287983319782"/>
    <n v="2.3345864964296925E-3"/>
    <n v="6.5996085749396929E-3"/>
    <s v="Bad"/>
  </r>
  <r>
    <x v="3"/>
    <s v="Social_MK~KW_TG"/>
    <s v="Interests"/>
    <x v="0"/>
    <x v="1"/>
    <s v="Video"/>
    <x v="2"/>
    <n v="40.26"/>
    <n v="128655"/>
    <n v="83839"/>
    <n v="109"/>
    <n v="8014"/>
    <n v="7910"/>
    <n v="147"/>
    <n v="9.5587969999999994E-2"/>
    <n v="6.1482258754032099E-2"/>
    <n v="6.1482258754032099E-2"/>
    <n v="0.31292992887956156"/>
    <n v="8.4722708017566362E-4"/>
    <n v="1.300110926895598E-3"/>
    <s v="Bad"/>
  </r>
  <r>
    <x v="3"/>
    <s v="Social_MK~KW_TG"/>
    <s v="Interests"/>
    <x v="0"/>
    <x v="1"/>
    <s v="Video"/>
    <x v="2"/>
    <n v="38.4"/>
    <n v="121193"/>
    <n v="76368"/>
    <n v="100"/>
    <n v="8657"/>
    <n v="8582"/>
    <n v="259"/>
    <n v="0.113359"/>
    <n v="7.0812670698802732E-2"/>
    <n v="7.0812670698802732E-2"/>
    <n v="0.31684998308483159"/>
    <n v="8.2513016428341574E-4"/>
    <n v="1.309448983867588E-3"/>
    <s v="Bad"/>
  </r>
  <r>
    <x v="3"/>
    <s v="Social_MK~KW_TG"/>
    <s v="Interests"/>
    <x v="0"/>
    <x v="0"/>
    <s v="Video"/>
    <x v="0"/>
    <n v="34.35"/>
    <n v="59064"/>
    <n v="21276"/>
    <n v="178"/>
    <n v="12499"/>
    <n v="12352"/>
    <n v="82"/>
    <n v="0.58746944999999995"/>
    <n v="0.20912908031965327"/>
    <n v="0.20912908031965327"/>
    <n v="0.58157253149126364"/>
    <n v="3.0136800758499257E-3"/>
    <n v="8.3662342545591274E-3"/>
    <s v="Bad"/>
  </r>
  <r>
    <x v="3"/>
    <s v="Social_MK~KW_TG"/>
    <s v="Interests"/>
    <x v="0"/>
    <x v="0"/>
    <s v="Video"/>
    <x v="1"/>
    <n v="33.08"/>
    <n v="101052"/>
    <n v="53006"/>
    <n v="209"/>
    <n v="2188"/>
    <n v="2129"/>
    <n v="1836"/>
    <n v="4.1278349999999998E-2"/>
    <n v="2.1068360843921941E-2"/>
    <n v="2.1068360843921941E-2"/>
    <n v="0.32735621264299564"/>
    <n v="2.0682420931797492E-3"/>
    <n v="3.9429498547334267E-3"/>
    <s v="Bad"/>
  </r>
  <r>
    <x v="3"/>
    <s v="Social_MK~KW_TG"/>
    <s v="Interests"/>
    <x v="0"/>
    <x v="0"/>
    <s v="Carousel"/>
    <x v="1"/>
    <n v="31.65"/>
    <n v="76392"/>
    <n v="50753"/>
    <n v="118"/>
    <n v="3350"/>
    <n v="3291"/>
    <n v="3489"/>
    <n v="6.6005949999999994E-2"/>
    <n v="4.3080427269871192E-2"/>
    <n v="4.3080427269871192E-2"/>
    <n v="0.4143103989946591"/>
    <n v="1.5446643627604986E-3"/>
    <n v="2.3249857151301399E-3"/>
    <s v="Bad"/>
  </r>
  <r>
    <x v="3"/>
    <s v="Social_MK~KW_TG"/>
    <s v="Interests"/>
    <x v="0"/>
    <x v="0"/>
    <s v="Video"/>
    <x v="0"/>
    <n v="22"/>
    <n v="63700"/>
    <n v="35120"/>
    <n v="173"/>
    <n v="3669"/>
    <n v="3610"/>
    <n v="163"/>
    <n v="0.10447039"/>
    <n v="5.6671899529042384E-2"/>
    <n v="5.6671899529042384E-2"/>
    <n v="0.34536891679748821"/>
    <n v="2.71585557299843E-3"/>
    <n v="4.9259681093394084E-3"/>
    <s v="Bad"/>
  </r>
  <r>
    <x v="3"/>
    <s v="Social_MK~KW_TG"/>
    <s v="Interests"/>
    <x v="0"/>
    <x v="1"/>
    <s v="Static"/>
    <x v="1"/>
    <n v="21.93"/>
    <n v="66661"/>
    <n v="37209"/>
    <n v="168"/>
    <n v="104"/>
    <n v="0"/>
    <n v="0"/>
    <n v="2.7950200000000001E-3"/>
    <n v="0"/>
    <n v="0"/>
    <n v="0.32897796312686578"/>
    <n v="2.5202142182085478E-3"/>
    <n v="4.5150366846730631E-3"/>
    <s v="Bad"/>
  </r>
  <r>
    <x v="3"/>
    <s v="Social_MK~KW_TG"/>
    <s v="Interests"/>
    <x v="0"/>
    <x v="1"/>
    <s v="Static"/>
    <x v="1"/>
    <n v="20.86"/>
    <n v="57765"/>
    <n v="30784"/>
    <n v="128"/>
    <n v="76"/>
    <n v="0"/>
    <n v="0"/>
    <n v="2.4688100000000001E-3"/>
    <n v="0"/>
    <n v="0"/>
    <n v="0.36111832424478491"/>
    <n v="2.2158746645892843E-3"/>
    <n v="4.1580041580041582E-3"/>
    <s v="Bad"/>
  </r>
  <r>
    <x v="3"/>
    <s v="Social_MK~KW_TG"/>
    <s v="Interests"/>
    <x v="0"/>
    <x v="1"/>
    <s v="Video"/>
    <x v="1"/>
    <n v="13.74"/>
    <n v="16294"/>
    <n v="11776"/>
    <n v="168"/>
    <n v="7680"/>
    <n v="7518"/>
    <n v="27"/>
    <n v="0.65217391000000002"/>
    <n v="0.46139683319013136"/>
    <n v="0.46139683319013136"/>
    <n v="0.84325518595802129"/>
    <n v="1.0310543758438689E-2"/>
    <n v="1.426630434782609E-2"/>
    <s v="Bad"/>
  </r>
  <r>
    <x v="3"/>
    <s v="Social_MK~KW_TG"/>
    <s v="Interests"/>
    <x v="0"/>
    <x v="0"/>
    <s v="Video"/>
    <x v="2"/>
    <n v="13.73"/>
    <n v="43771"/>
    <n v="30575"/>
    <n v="28"/>
    <n v="2830"/>
    <n v="2805"/>
    <n v="40"/>
    <n v="9.2559279999999994E-2"/>
    <n v="6.4083525621987159E-2"/>
    <n v="6.4083525621987159E-2"/>
    <n v="0.31367800598569828"/>
    <n v="6.3969294738525507E-4"/>
    <n v="9.157808667211774E-4"/>
    <s v="Bad"/>
  </r>
  <r>
    <x v="3"/>
    <s v="Social_MK~KW_TG"/>
    <s v="Interests"/>
    <x v="0"/>
    <x v="1"/>
    <s v="Video"/>
    <x v="2"/>
    <n v="10.77"/>
    <n v="34165"/>
    <n v="22416"/>
    <n v="17"/>
    <n v="1316"/>
    <n v="1298"/>
    <n v="16"/>
    <n v="5.8708070000000001E-2"/>
    <n v="3.7992097175471973E-2"/>
    <n v="3.7992097175471973E-2"/>
    <n v="0.31523488950680517"/>
    <n v="4.9758524806088101E-4"/>
    <n v="7.5838686652391154E-4"/>
    <s v="Bad"/>
  </r>
  <r>
    <x v="3"/>
    <s v="Social_MK~KW_TG"/>
    <s v="Interests"/>
    <x v="0"/>
    <x v="1"/>
    <s v="KW"/>
    <x v="1"/>
    <n v="8.14"/>
    <n v="21731"/>
    <n v="14640"/>
    <n v="33"/>
    <n v="989"/>
    <n v="976"/>
    <n v="1014"/>
    <n v="6.7554639999999999E-2"/>
    <n v="4.4912797386222447E-2"/>
    <n v="4.4912797386222447E-2"/>
    <n v="0.37458009295476508"/>
    <n v="1.5185679444112098E-3"/>
    <n v="2.2540983606557379E-3"/>
    <s v="Bad"/>
  </r>
  <r>
    <x v="3"/>
    <s v="Social_MK~KW_TG"/>
    <s v="Interests"/>
    <x v="0"/>
    <x v="0"/>
    <s v="Video"/>
    <x v="2"/>
    <n v="7.71"/>
    <n v="24638"/>
    <n v="18572"/>
    <n v="14"/>
    <n v="1266"/>
    <n v="1256"/>
    <n v="17"/>
    <n v="6.8167130000000006E-2"/>
    <n v="5.0978163811997726E-2"/>
    <n v="5.0978163811997726E-2"/>
    <n v="0.31293124441918985"/>
    <n v="5.6822794057959254E-4"/>
    <n v="7.5382295929356019E-4"/>
    <s v="Bad"/>
  </r>
  <r>
    <x v="3"/>
    <s v="Social_MK~KW_TG"/>
    <s v="Interests"/>
    <x v="0"/>
    <x v="0"/>
    <s v="Video"/>
    <x v="2"/>
    <n v="6.83"/>
    <n v="21740"/>
    <n v="15360"/>
    <n v="19"/>
    <n v="1744"/>
    <n v="1729"/>
    <n v="53"/>
    <n v="0.11354167"/>
    <n v="7.9530818767249309E-2"/>
    <n v="7.9530818767249309E-2"/>
    <n v="0.31416743330266789"/>
    <n v="8.7396504139834405E-4"/>
    <n v="1.236979166666667E-3"/>
    <s v="Bad"/>
  </r>
  <r>
    <x v="3"/>
    <s v="Social_MK~KW_TG"/>
    <s v="Interests"/>
    <x v="0"/>
    <x v="1"/>
    <s v="Video"/>
    <x v="0"/>
    <n v="6.23"/>
    <n v="10224"/>
    <n v="5776"/>
    <n v="41"/>
    <n v="2934"/>
    <n v="2900"/>
    <n v="12"/>
    <n v="0.50796399000000003"/>
    <n v="0.28364632237871673"/>
    <n v="0.28364632237871673"/>
    <n v="0.60935054773082953"/>
    <n v="4.0101721439749606E-3"/>
    <n v="7.098337950138504E-3"/>
    <s v="Bad"/>
  </r>
  <r>
    <x v="3"/>
    <s v="Social_MK~KW_TG"/>
    <s v="Interests"/>
    <x v="0"/>
    <x v="0"/>
    <s v="Video"/>
    <x v="1"/>
    <n v="4.08"/>
    <n v="4485"/>
    <n v="3526"/>
    <n v="53"/>
    <n v="2757"/>
    <n v="2707"/>
    <n v="3"/>
    <n v="0.78190583999999996"/>
    <n v="0.60356744704570786"/>
    <n v="0.60356744704570786"/>
    <n v="0.90969899665551845"/>
    <n v="1.1817168338907469E-2"/>
    <n v="1.5031196823596139E-2"/>
    <s v="Bad"/>
  </r>
  <r>
    <x v="3"/>
    <s v="Social_MK~KW_TG"/>
    <s v="Interests"/>
    <x v="0"/>
    <x v="1"/>
    <s v="Video"/>
    <x v="1"/>
    <n v="1.21"/>
    <n v="2550"/>
    <n v="2114"/>
    <n v="11"/>
    <n v="199"/>
    <n v="193"/>
    <n v="168"/>
    <n v="9.4134339999999997E-2"/>
    <n v="7.5686274509803919E-2"/>
    <n v="7.5686274509803919E-2"/>
    <n v="0.47450980392156861"/>
    <n v="4.3137254901960782E-3"/>
    <n v="5.2034058656575217E-3"/>
    <s v="Bad"/>
  </r>
  <r>
    <x v="3"/>
    <s v="Social_MK~KW_TG"/>
    <s v="Interests"/>
    <x v="0"/>
    <x v="0"/>
    <s v="Carousel"/>
    <x v="2"/>
    <n v="0.15"/>
    <n v="546"/>
    <n v="332"/>
    <n v="0"/>
    <n v="6"/>
    <n v="6"/>
    <n v="1"/>
    <n v="1.8072290000000001E-2"/>
    <n v="1.098901098901099E-2"/>
    <n v="1.098901098901099E-2"/>
    <n v="0.27472527472527475"/>
    <n v="0"/>
    <n v="0"/>
    <s v="Bad"/>
  </r>
  <r>
    <x v="3"/>
    <s v="Social_MK~KW_TG"/>
    <s v="Interests"/>
    <x v="0"/>
    <x v="0"/>
    <s v="Video"/>
    <x v="1"/>
    <n v="0.14000000000000001"/>
    <n v="369"/>
    <n v="254"/>
    <n v="1"/>
    <n v="43"/>
    <n v="42"/>
    <n v="43"/>
    <n v="0.16929134000000001"/>
    <n v="0.11382113821138211"/>
    <n v="0.11382113821138211"/>
    <n v="0.37940379403794044"/>
    <n v="2.7100271002710027E-3"/>
    <n v="3.937007874015748E-3"/>
    <s v="Bad"/>
  </r>
  <r>
    <x v="3"/>
    <s v="Social_MK~KW_TG"/>
    <s v="Interests"/>
    <x v="0"/>
    <x v="1"/>
    <s v="Carousel"/>
    <x v="2"/>
    <n v="0.11"/>
    <n v="413"/>
    <n v="271"/>
    <n v="0"/>
    <n v="2"/>
    <n v="2"/>
    <n v="0"/>
    <n v="7.3800699999999999E-3"/>
    <n v="4.8426150121065378E-3"/>
    <n v="4.8426150121065378E-3"/>
    <n v="0.26634382566585957"/>
    <n v="0"/>
    <n v="0"/>
    <s v="Bad"/>
  </r>
  <r>
    <x v="3"/>
    <s v="Social_MK~KW_TG"/>
    <s v="Interests"/>
    <x v="0"/>
    <x v="0"/>
    <s v="Video"/>
    <x v="2"/>
    <n v="0"/>
    <n v="2"/>
    <n v="2"/>
    <n v="0"/>
    <n v="0"/>
    <n v="0"/>
    <n v="0"/>
    <n v="0"/>
    <n v="0"/>
    <n v="0"/>
    <n v="0"/>
    <n v="0"/>
    <n v="0"/>
    <s v="Bad"/>
  </r>
  <r>
    <x v="3"/>
    <s v="Social_MK~KW_TG"/>
    <s v="Interests"/>
    <x v="0"/>
    <x v="0"/>
    <s v="Video"/>
    <x v="2"/>
    <n v="0"/>
    <n v="3"/>
    <n v="3"/>
    <n v="0"/>
    <n v="1"/>
    <n v="1"/>
    <n v="0"/>
    <n v="0.33333332999999998"/>
    <n v="0.33333333333333331"/>
    <n v="0.33333333333333331"/>
    <n v="0"/>
    <n v="0"/>
    <n v="0"/>
    <s v="Bad"/>
  </r>
  <r>
    <x v="3"/>
    <s v="Social_MK~KW_TG"/>
    <s v="Interests"/>
    <x v="0"/>
    <x v="0"/>
    <s v="Video"/>
    <x v="2"/>
    <n v="0"/>
    <n v="2"/>
    <n v="2"/>
    <n v="0"/>
    <n v="0"/>
    <n v="0"/>
    <n v="0"/>
    <n v="0"/>
    <n v="0"/>
    <n v="0"/>
    <n v="0"/>
    <n v="0"/>
    <n v="0"/>
    <s v="Bad"/>
  </r>
  <r>
    <x v="3"/>
    <s v="Social_MK~KW_TG"/>
    <s v="Interests"/>
    <x v="0"/>
    <x v="1"/>
    <s v="Video"/>
    <x v="2"/>
    <n v="0"/>
    <n v="1"/>
    <n v="1"/>
    <n v="0"/>
    <n v="1"/>
    <n v="1"/>
    <n v="0"/>
    <n v="1"/>
    <n v="1"/>
    <n v="1"/>
    <n v="0"/>
    <n v="0"/>
    <n v="0"/>
    <s v="Bad"/>
  </r>
  <r>
    <x v="3"/>
    <s v="Social_MK~KW_TG"/>
    <s v="Interests"/>
    <x v="0"/>
    <x v="1"/>
    <s v="Video"/>
    <x v="2"/>
    <n v="0"/>
    <n v="3"/>
    <n v="3"/>
    <n v="0"/>
    <n v="0"/>
    <n v="0"/>
    <n v="0"/>
    <n v="0"/>
    <n v="0"/>
    <n v="0"/>
    <n v="0"/>
    <n v="0"/>
    <n v="0"/>
    <s v="Bad"/>
  </r>
  <r>
    <x v="3"/>
    <s v="Social_MK~KW_TG"/>
    <s v="Interests"/>
    <x v="0"/>
    <x v="1"/>
    <s v="Video"/>
    <x v="2"/>
    <n v="0"/>
    <n v="1"/>
    <n v="1"/>
    <n v="0"/>
    <n v="1"/>
    <n v="1"/>
    <n v="0"/>
    <n v="1"/>
    <n v="1"/>
    <n v="1"/>
    <n v="0"/>
    <n v="0"/>
    <n v="0"/>
    <s v="Bad"/>
  </r>
  <r>
    <x v="4"/>
    <s v="Social_MK~OM_TG"/>
    <s v="Interests"/>
    <x v="0"/>
    <x v="0"/>
    <s v="Video"/>
    <x v="0"/>
    <n v="402.21"/>
    <n v="1038201"/>
    <n v="279681"/>
    <n v="4540"/>
    <n v="154401"/>
    <n v="151523"/>
    <n v="2519"/>
    <n v="0.55206109999999997"/>
    <n v="0.14594765368170518"/>
    <n v="0.14594765368170518"/>
    <n v="0.38741053033083184"/>
    <n v="4.3729489761616487E-3"/>
    <n v="1.6232779488059609E-2"/>
    <s v="Bad"/>
  </r>
  <r>
    <x v="4"/>
    <s v="Social_MK~OM_TG"/>
    <s v="Interests"/>
    <x v="0"/>
    <x v="0"/>
    <s v="Video"/>
    <x v="0"/>
    <n v="362.06"/>
    <n v="992375"/>
    <n v="270978"/>
    <n v="5149"/>
    <n v="134087"/>
    <n v="130705"/>
    <n v="4015"/>
    <n v="0.49482615000000002"/>
    <n v="0.1317092832850485"/>
    <n v="0.1317092832850485"/>
    <n v="0.36484191963723389"/>
    <n v="5.1885627912835368E-3"/>
    <n v="1.9001542560650678E-2"/>
    <s v="Bad"/>
  </r>
  <r>
    <x v="4"/>
    <s v="Social_MK~OM_TG"/>
    <s v="Interests"/>
    <x v="0"/>
    <x v="1"/>
    <s v="Video"/>
    <x v="0"/>
    <n v="296.19"/>
    <n v="799838"/>
    <n v="213313"/>
    <n v="3366"/>
    <n v="111841"/>
    <n v="109739"/>
    <n v="3200"/>
    <n v="0.52430465999999998"/>
    <n v="0.13720153331049537"/>
    <n v="0.13720153331049537"/>
    <n v="0.37031248827887647"/>
    <n v="4.2083521913187424E-3"/>
    <n v="1.5779628995888671E-2"/>
    <s v="Bad"/>
  </r>
  <r>
    <x v="4"/>
    <s v="Social_MK~OM_TG"/>
    <s v="Interests"/>
    <x v="0"/>
    <x v="1"/>
    <s v="Video"/>
    <x v="0"/>
    <n v="172.55"/>
    <n v="866065"/>
    <n v="244092"/>
    <n v="3539"/>
    <n v="44932"/>
    <n v="44280"/>
    <n v="1677"/>
    <n v="0.18407813000000001"/>
    <n v="5.1127802185748181E-2"/>
    <n v="5.1127802185748181E-2"/>
    <n v="0.1992344685445088"/>
    <n v="4.0862983725240025E-3"/>
    <n v="1.4498631663471149E-2"/>
    <s v="Bad"/>
  </r>
  <r>
    <x v="4"/>
    <s v="Social_MK~OM_TG"/>
    <s v="Interests"/>
    <x v="0"/>
    <x v="0"/>
    <s v="Static"/>
    <x v="1"/>
    <n v="164.97"/>
    <n v="836397"/>
    <n v="256449"/>
    <n v="2419"/>
    <n v="1634"/>
    <n v="0"/>
    <n v="0"/>
    <n v="6.3716399999999996E-3"/>
    <n v="0"/>
    <n v="0"/>
    <n v="0.19723887101460191"/>
    <n v="2.8921672363722011E-3"/>
    <n v="9.4326747228493778E-3"/>
    <s v="Bad"/>
  </r>
  <r>
    <x v="4"/>
    <s v="Social_MK~OM_TG"/>
    <s v="Interests"/>
    <x v="0"/>
    <x v="0"/>
    <s v="Video"/>
    <x v="1"/>
    <n v="118.16"/>
    <n v="247282"/>
    <n v="97825"/>
    <n v="1539"/>
    <n v="53013"/>
    <n v="51886"/>
    <n v="760"/>
    <n v="0.54191668999999998"/>
    <n v="0.20982521978955201"/>
    <n v="0.20982521978955201"/>
    <n v="0.47783502236313191"/>
    <n v="6.2236636714358504E-3"/>
    <n v="1.573217480194224E-2"/>
    <s v="Bad"/>
  </r>
  <r>
    <x v="4"/>
    <s v="Social_MK~OM_TG"/>
    <s v="Interests"/>
    <x v="0"/>
    <x v="0"/>
    <s v="Video"/>
    <x v="0"/>
    <n v="117.88"/>
    <n v="587830"/>
    <n v="210494"/>
    <n v="2151"/>
    <n v="33061"/>
    <n v="32287"/>
    <n v="804"/>
    <n v="0.15706386"/>
    <n v="5.4925743837504037E-2"/>
    <n v="5.4925743837504037E-2"/>
    <n v="0.20053416804178079"/>
    <n v="3.6592212034091487E-3"/>
    <n v="1.021881858865336E-2"/>
    <s v="Bad"/>
  </r>
  <r>
    <x v="4"/>
    <s v="Social_MK~OM_TG"/>
    <s v="Interests"/>
    <x v="0"/>
    <x v="1"/>
    <s v="Video"/>
    <x v="1"/>
    <n v="110.36"/>
    <n v="557328"/>
    <n v="210367"/>
    <n v="2217"/>
    <n v="23662"/>
    <n v="23222"/>
    <n v="824"/>
    <n v="0.11247962"/>
    <n v="4.1666666666666664E-2"/>
    <n v="4.1666666666666664E-2"/>
    <n v="0.19801624895932018"/>
    <n v="3.9779088795108084E-3"/>
    <n v="1.053872518028018E-2"/>
    <s v="Bad"/>
  </r>
  <r>
    <x v="4"/>
    <s v="Social_MK~OM_TG"/>
    <s v="Interests"/>
    <x v="0"/>
    <x v="1"/>
    <s v="Video"/>
    <x v="2"/>
    <n v="78.69"/>
    <n v="414195"/>
    <n v="134491"/>
    <n v="78"/>
    <n v="12108"/>
    <n v="11989"/>
    <n v="109"/>
    <n v="9.0028330000000004E-2"/>
    <n v="2.8945303540602856E-2"/>
    <n v="2.8945303540602856E-2"/>
    <n v="0.18998297903161554"/>
    <n v="1.883170970195198E-4"/>
    <n v="5.7996445858830706E-4"/>
    <s v="Bad"/>
  </r>
  <r>
    <x v="4"/>
    <s v="Social_MK~OM_TG"/>
    <s v="Interests"/>
    <x v="0"/>
    <x v="0"/>
    <s v="Video"/>
    <x v="1"/>
    <n v="76.900000000000006"/>
    <n v="161778"/>
    <n v="94290"/>
    <n v="862"/>
    <n v="39451"/>
    <n v="38749"/>
    <n v="891"/>
    <n v="0.41840068000000002"/>
    <n v="0.23951958857199371"/>
    <n v="0.23951958857199371"/>
    <n v="0.47534275365006373"/>
    <n v="5.3282893842178788E-3"/>
    <n v="9.1420086965743989E-3"/>
    <s v="Bad"/>
  </r>
  <r>
    <x v="4"/>
    <s v="Social_MK~OM_TG"/>
    <s v="Interests"/>
    <x v="0"/>
    <x v="0"/>
    <s v="Video"/>
    <x v="1"/>
    <n v="61.75"/>
    <n v="315774"/>
    <n v="151521"/>
    <n v="1153"/>
    <n v="14487"/>
    <n v="14278"/>
    <n v="453"/>
    <n v="9.5610509999999996E-2"/>
    <n v="4.5215882244896664E-2"/>
    <n v="4.5215882244896664E-2"/>
    <n v="0.19555124867785187"/>
    <n v="3.651345582600214E-3"/>
    <n v="7.6095062730578604E-3"/>
    <s v="Bad"/>
  </r>
  <r>
    <x v="4"/>
    <s v="Social_MK~OM_TG"/>
    <s v="Interests"/>
    <x v="0"/>
    <x v="1"/>
    <s v="Static"/>
    <x v="1"/>
    <n v="59.47"/>
    <n v="293212"/>
    <n v="131552"/>
    <n v="902"/>
    <n v="598"/>
    <n v="0"/>
    <n v="0"/>
    <n v="4.5457300000000004E-3"/>
    <n v="0"/>
    <n v="0"/>
    <n v="0.20282253113787976"/>
    <n v="3.0762724581531453E-3"/>
    <n v="6.8566042325468252E-3"/>
    <s v="Bad"/>
  </r>
  <r>
    <x v="4"/>
    <s v="Social_MK~OM_TG"/>
    <s v="Interests"/>
    <x v="0"/>
    <x v="0"/>
    <s v="Static"/>
    <x v="1"/>
    <n v="56.98"/>
    <n v="298669"/>
    <n v="139156"/>
    <n v="689"/>
    <n v="468"/>
    <n v="0"/>
    <n v="0"/>
    <n v="3.3631300000000002E-3"/>
    <n v="0"/>
    <n v="0"/>
    <n v="0.19077975953312865"/>
    <n v="2.3069016201882351E-3"/>
    <n v="4.9512777027221249E-3"/>
    <s v="Bad"/>
  </r>
  <r>
    <x v="4"/>
    <s v="Social_MK~OM_TG"/>
    <s v="Interests"/>
    <x v="0"/>
    <x v="1"/>
    <s v="Video"/>
    <x v="1"/>
    <n v="50.29"/>
    <n v="257301"/>
    <n v="113759"/>
    <n v="952"/>
    <n v="10240"/>
    <n v="9959"/>
    <n v="570"/>
    <n v="9.0014860000000002E-2"/>
    <n v="3.8705640475551979E-2"/>
    <n v="3.8705640475551979E-2"/>
    <n v="0.19545201923039551"/>
    <n v="3.6999467549679171E-3"/>
    <n v="8.3685686407229311E-3"/>
    <s v="Bad"/>
  </r>
  <r>
    <x v="4"/>
    <s v="Social_MK~OM_TG"/>
    <s v="Interests"/>
    <x v="0"/>
    <x v="1"/>
    <s v="Video"/>
    <x v="0"/>
    <n v="45.11"/>
    <n v="110340"/>
    <n v="49264"/>
    <n v="488"/>
    <n v="22611"/>
    <n v="22250"/>
    <n v="227"/>
    <n v="0.45897612999999998"/>
    <n v="0.2016494471633134"/>
    <n v="0.2016494471633134"/>
    <n v="0.4088272611926772"/>
    <n v="4.4226934928403121E-3"/>
    <n v="9.9058135758363104E-3"/>
    <s v="Bad"/>
  </r>
  <r>
    <x v="4"/>
    <s v="Social_MK~OM_TG"/>
    <s v="Interests"/>
    <x v="0"/>
    <x v="1"/>
    <s v="Video"/>
    <x v="1"/>
    <n v="43.37"/>
    <n v="61468"/>
    <n v="43575"/>
    <n v="844"/>
    <n v="34644"/>
    <n v="33837"/>
    <n v="146"/>
    <n v="0.79504302999999998"/>
    <n v="0.55048155137632593"/>
    <n v="0.55048155137632593"/>
    <n v="0.7055703780829049"/>
    <n v="1.3730721676319385E-2"/>
    <n v="1.93689041881813E-2"/>
    <s v="Bad"/>
  </r>
  <r>
    <x v="4"/>
    <s v="Social_MK~OM_TG"/>
    <s v="Interests"/>
    <x v="0"/>
    <x v="1"/>
    <s v="Video"/>
    <x v="2"/>
    <n v="33.71"/>
    <n v="172397"/>
    <n v="91948"/>
    <n v="34"/>
    <n v="4067"/>
    <n v="4018"/>
    <n v="23"/>
    <n v="4.4231520000000003E-2"/>
    <n v="2.3306670069664786E-2"/>
    <n v="2.3306670069664786E-2"/>
    <n v="0.195537045308213"/>
    <n v="1.9721920915097131E-4"/>
    <n v="3.6977422021142393E-4"/>
    <s v="Bad"/>
  </r>
  <r>
    <x v="4"/>
    <s v="Social_MK~OM_TG"/>
    <s v="Interests"/>
    <x v="0"/>
    <x v="0"/>
    <s v="Static"/>
    <x v="1"/>
    <n v="31.82"/>
    <n v="164052"/>
    <n v="80462"/>
    <n v="406"/>
    <n v="291"/>
    <n v="0"/>
    <n v="0"/>
    <n v="3.6166100000000001E-3"/>
    <n v="0"/>
    <n v="0"/>
    <n v="0.19396288981542439"/>
    <n v="2.4748250554702169E-3"/>
    <n v="5.0458601575899186E-3"/>
    <s v="Bad"/>
  </r>
  <r>
    <x v="4"/>
    <s v="Social_MK~OM_TG"/>
    <s v="Interests"/>
    <x v="0"/>
    <x v="1"/>
    <s v="Video"/>
    <x v="1"/>
    <n v="28.96"/>
    <n v="38553"/>
    <n v="27256"/>
    <n v="527"/>
    <n v="21821"/>
    <n v="21324"/>
    <n v="122"/>
    <n v="0.80059435999999995"/>
    <n v="0.55310870749358032"/>
    <n v="0.55310870749358032"/>
    <n v="0.75117370892018775"/>
    <n v="1.3669493943402588E-2"/>
    <n v="1.933519225124743E-2"/>
    <s v="Bad"/>
  </r>
  <r>
    <x v="4"/>
    <s v="Social_MK~OM_TG"/>
    <s v="Interests"/>
    <x v="0"/>
    <x v="0"/>
    <s v="Video"/>
    <x v="1"/>
    <n v="27.67"/>
    <n v="146290"/>
    <n v="77953"/>
    <n v="263"/>
    <n v="4032"/>
    <n v="3962"/>
    <n v="3238"/>
    <n v="5.1723470000000001E-2"/>
    <n v="2.7083190922140954E-2"/>
    <n v="2.7083190922140954E-2"/>
    <n v="0.18914484927199399"/>
    <n v="1.7977988926105681E-3"/>
    <n v="3.3738278193270309E-3"/>
    <s v="Bad"/>
  </r>
  <r>
    <x v="4"/>
    <s v="Social_MK~OM_TG"/>
    <s v="Interests"/>
    <x v="0"/>
    <x v="0"/>
    <s v="Video"/>
    <x v="2"/>
    <n v="25.46"/>
    <n v="133304"/>
    <n v="71626"/>
    <n v="52"/>
    <n v="7244"/>
    <n v="7184"/>
    <n v="44"/>
    <n v="0.10113646"/>
    <n v="5.389185620836584E-2"/>
    <n v="5.389185620836584E-2"/>
    <n v="0.19099201824401368"/>
    <n v="3.9008581888015366E-4"/>
    <n v="7.2599335436852538E-4"/>
    <s v="Bad"/>
  </r>
  <r>
    <x v="4"/>
    <s v="Social_MK~OM_TG"/>
    <s v="Interests"/>
    <x v="0"/>
    <x v="1"/>
    <s v="Video"/>
    <x v="1"/>
    <n v="25.14"/>
    <n v="134861"/>
    <n v="74543"/>
    <n v="446"/>
    <n v="3715"/>
    <n v="3661"/>
    <n v="144"/>
    <n v="4.9837010000000001E-2"/>
    <n v="2.7146469327678127E-2"/>
    <n v="2.7146469327678127E-2"/>
    <n v="0.18641415976449827"/>
    <n v="3.307108800913533E-3"/>
    <n v="5.9831238345652848E-3"/>
    <s v="Bad"/>
  </r>
  <r>
    <x v="4"/>
    <s v="Social_MK~OM_TG"/>
    <s v="Interests"/>
    <x v="0"/>
    <x v="0"/>
    <s v="Video"/>
    <x v="2"/>
    <n v="19.37"/>
    <n v="102413"/>
    <n v="61166"/>
    <n v="36"/>
    <n v="3060"/>
    <n v="3034"/>
    <n v="14"/>
    <n v="5.0027790000000003E-2"/>
    <n v="2.9625145245232538E-2"/>
    <n v="2.9625145245232538E-2"/>
    <n v="0.18913614482536398"/>
    <n v="3.5151787370743949E-4"/>
    <n v="5.8856227315829052E-4"/>
    <s v="Bad"/>
  </r>
  <r>
    <x v="4"/>
    <s v="Social_MK~OM_TG"/>
    <s v="Interests"/>
    <x v="0"/>
    <x v="1"/>
    <s v="Static"/>
    <x v="1"/>
    <n v="18.920000000000002"/>
    <n v="98421"/>
    <n v="48718"/>
    <n v="228"/>
    <n v="135"/>
    <n v="0"/>
    <n v="0"/>
    <n v="2.7710500000000002E-3"/>
    <n v="0"/>
    <n v="0"/>
    <n v="0.19223539691732458"/>
    <n v="2.3165787789191333E-3"/>
    <n v="4.6799950736893959E-3"/>
    <s v="Bad"/>
  </r>
  <r>
    <x v="4"/>
    <s v="Social_MK~OM_TG"/>
    <s v="Interests"/>
    <x v="0"/>
    <x v="1"/>
    <s v="Video"/>
    <x v="1"/>
    <n v="18.84"/>
    <n v="99290"/>
    <n v="46006"/>
    <n v="177"/>
    <n v="1913"/>
    <n v="1874"/>
    <n v="1627"/>
    <n v="4.1581529999999998E-2"/>
    <n v="1.8874005438614162E-2"/>
    <n v="1.8874005438614162E-2"/>
    <n v="0.18974720515661195"/>
    <n v="1.7826568637325008E-3"/>
    <n v="3.8473242620527758E-3"/>
    <s v="Bad"/>
  </r>
  <r>
    <x v="4"/>
    <s v="Social_MK~OM_TG"/>
    <s v="Interests"/>
    <x v="0"/>
    <x v="0"/>
    <s v="Video"/>
    <x v="1"/>
    <n v="18.16"/>
    <n v="93929"/>
    <n v="55552"/>
    <n v="314"/>
    <n v="3610"/>
    <n v="3532"/>
    <n v="148"/>
    <n v="6.4984159999999999E-2"/>
    <n v="3.7602870253063483E-2"/>
    <n v="3.7602870253063483E-2"/>
    <n v="0.19333752089344078"/>
    <n v="3.3429505264614763E-3"/>
    <n v="5.6523617511520744E-3"/>
    <s v="Bad"/>
  </r>
  <r>
    <x v="4"/>
    <s v="Social_MK~OM_TG"/>
    <s v="Interests"/>
    <x v="0"/>
    <x v="1"/>
    <s v="Static"/>
    <x v="1"/>
    <n v="16.7"/>
    <n v="83062"/>
    <n v="48577"/>
    <n v="196"/>
    <n v="126"/>
    <n v="0"/>
    <n v="0"/>
    <n v="2.5938200000000002E-3"/>
    <n v="0"/>
    <n v="0"/>
    <n v="0.20105463388793912"/>
    <n v="2.3596831282656329E-3"/>
    <n v="4.0348312987627888E-3"/>
    <s v="Bad"/>
  </r>
  <r>
    <x v="4"/>
    <s v="Social_MK~OM_TG"/>
    <s v="Interests"/>
    <x v="0"/>
    <x v="1"/>
    <s v="Video"/>
    <x v="0"/>
    <n v="16.02"/>
    <n v="84105"/>
    <n v="48014"/>
    <n v="294"/>
    <n v="4219"/>
    <n v="4125"/>
    <n v="179"/>
    <n v="8.7870199999999996E-2"/>
    <n v="4.9045835562689495E-2"/>
    <n v="4.9045835562689495E-2"/>
    <n v="0.19047619047619049"/>
    <n v="3.495630461922597E-3"/>
    <n v="6.1232140625650851E-3"/>
    <s v="Bad"/>
  </r>
  <r>
    <x v="4"/>
    <s v="Social_MK~OM_TG"/>
    <s v="Interests"/>
    <x v="0"/>
    <x v="0"/>
    <s v="Video"/>
    <x v="1"/>
    <n v="15.25"/>
    <n v="80609"/>
    <n v="49201"/>
    <n v="280"/>
    <n v="2729"/>
    <n v="2675"/>
    <n v="76"/>
    <n v="5.5466349999999998E-2"/>
    <n v="3.3184880100236944E-2"/>
    <n v="3.3184880100236944E-2"/>
    <n v="0.18918483047798634"/>
    <n v="3.4735575432023719E-3"/>
    <n v="5.6909412410316874E-3"/>
    <s v="Bad"/>
  </r>
  <r>
    <x v="4"/>
    <s v="Social_MK~OM_TG"/>
    <s v="Interests"/>
    <x v="0"/>
    <x v="1"/>
    <s v="Video"/>
    <x v="0"/>
    <n v="11.17"/>
    <n v="60724"/>
    <n v="37920"/>
    <n v="135"/>
    <n v="1915"/>
    <n v="1882"/>
    <n v="43"/>
    <n v="5.0501049999999999E-2"/>
    <n v="3.0992688228706936E-2"/>
    <n v="3.0992688228706936E-2"/>
    <n v="0.18394703906198537"/>
    <n v="2.2231737039720705E-3"/>
    <n v="3.5601265822784809E-3"/>
    <s v="Bad"/>
  </r>
  <r>
    <x v="4"/>
    <s v="Social_MK~OM_TG"/>
    <s v="Interests"/>
    <x v="0"/>
    <x v="1"/>
    <s v="Video"/>
    <x v="2"/>
    <n v="10.29"/>
    <n v="52086"/>
    <n v="39672"/>
    <n v="35"/>
    <n v="2710"/>
    <n v="2679"/>
    <n v="62"/>
    <n v="6.8310140000000005E-2"/>
    <n v="5.1434166570671583E-2"/>
    <n v="5.1434166570671583E-2"/>
    <n v="0.19755788503628613"/>
    <n v="6.7196559536151753E-4"/>
    <n v="8.8223432143577337E-4"/>
    <s v="Bad"/>
  </r>
  <r>
    <x v="4"/>
    <s v="Social_MK~OM_TG"/>
    <s v="Interests"/>
    <x v="0"/>
    <x v="0"/>
    <s v="Carousel"/>
    <x v="2"/>
    <n v="9.48"/>
    <n v="46822"/>
    <n v="19820"/>
    <n v="11"/>
    <n v="578"/>
    <n v="570"/>
    <n v="115"/>
    <n v="2.9162460000000001E-2"/>
    <n v="1.2173764469693734E-2"/>
    <n v="1.2173764469693734E-2"/>
    <n v="0.20246892486438001"/>
    <n v="2.3493229678356328E-4"/>
    <n v="5.5499495459132185E-4"/>
    <s v="Bad"/>
  </r>
  <r>
    <x v="4"/>
    <s v="Social_MK~OM_TG"/>
    <s v="Interests"/>
    <x v="0"/>
    <x v="0"/>
    <s v="Video"/>
    <x v="2"/>
    <n v="8.51"/>
    <n v="45649"/>
    <n v="31575"/>
    <n v="20"/>
    <n v="2625"/>
    <n v="2600"/>
    <n v="57"/>
    <n v="8.3135390000000003E-2"/>
    <n v="5.6956340774168106E-2"/>
    <n v="5.6956340774168106E-2"/>
    <n v="0.18642248461083483"/>
    <n v="4.381256982628316E-4"/>
    <n v="6.334125098970705E-4"/>
    <s v="Bad"/>
  </r>
  <r>
    <x v="4"/>
    <s v="Social_MK~OM_TG"/>
    <s v="Interests"/>
    <x v="0"/>
    <x v="0"/>
    <s v="Video"/>
    <x v="0"/>
    <n v="8.36"/>
    <n v="44517"/>
    <n v="28208"/>
    <n v="92"/>
    <n v="1573"/>
    <n v="1550"/>
    <n v="36"/>
    <n v="5.5764319999999999E-2"/>
    <n v="3.4818159354853204E-2"/>
    <n v="3.4818159354853204E-2"/>
    <n v="0.18779342723004691"/>
    <n v="2.066626232675158E-3"/>
    <n v="3.2614861032331248E-3"/>
    <s v="Bad"/>
  </r>
  <r>
    <x v="4"/>
    <s v="Social_MK~OM_TG"/>
    <s v="Interests"/>
    <x v="0"/>
    <x v="0"/>
    <s v="Carousel"/>
    <x v="1"/>
    <n v="7.29"/>
    <n v="33987"/>
    <n v="23520"/>
    <n v="79"/>
    <n v="1136"/>
    <n v="1089"/>
    <n v="1124"/>
    <n v="4.829932E-2"/>
    <n v="3.2041662988789833E-2"/>
    <n v="3.2041662988789833E-2"/>
    <n v="0.21449377703239472"/>
    <n v="2.3244181598846619E-3"/>
    <n v="3.3588435374149661E-3"/>
    <s v="Bad"/>
  </r>
  <r>
    <x v="4"/>
    <s v="Social_MK~OM_TG"/>
    <s v="Interests"/>
    <x v="0"/>
    <x v="0"/>
    <s v="Video"/>
    <x v="0"/>
    <n v="7.19"/>
    <n v="38773"/>
    <n v="26999"/>
    <n v="102"/>
    <n v="1897"/>
    <n v="1858"/>
    <n v="61"/>
    <n v="7.0261859999999995E-2"/>
    <n v="4.7919944291130424E-2"/>
    <n v="4.7919944291130424E-2"/>
    <n v="0.18543832048074693"/>
    <n v="2.6306966187811106E-3"/>
    <n v="3.77791770065558E-3"/>
    <s v="Bad"/>
  </r>
  <r>
    <x v="4"/>
    <s v="Social_MK~OM_TG"/>
    <s v="Interests"/>
    <x v="0"/>
    <x v="0"/>
    <s v="Video"/>
    <x v="0"/>
    <n v="6.87"/>
    <n v="17491"/>
    <n v="8622"/>
    <n v="62"/>
    <n v="3021"/>
    <n v="2980"/>
    <n v="16"/>
    <n v="0.35038274000000003"/>
    <n v="0.17037333485792694"/>
    <n v="0.17037333485792694"/>
    <n v="0.39277342633354295"/>
    <n v="3.5446801212051914E-3"/>
    <n v="7.1909069821387136E-3"/>
    <s v="Bad"/>
  </r>
  <r>
    <x v="4"/>
    <s v="Social_MK~OM_TG"/>
    <s v="Interests"/>
    <x v="0"/>
    <x v="1"/>
    <s v="Carousel"/>
    <x v="1"/>
    <n v="4.78"/>
    <n v="23110"/>
    <n v="17124"/>
    <n v="43"/>
    <n v="847"/>
    <n v="827"/>
    <n v="851"/>
    <n v="4.9462739999999998E-2"/>
    <n v="3.5785374296841192E-2"/>
    <n v="3.5785374296841192E-2"/>
    <n v="0.20683686715707486"/>
    <n v="1.8606663781912591E-3"/>
    <n v="2.5110955384256011E-3"/>
    <s v="Bad"/>
  </r>
  <r>
    <x v="4"/>
    <s v="Social_MK~OM_TG"/>
    <s v="Interests"/>
    <x v="0"/>
    <x v="1"/>
    <s v="Video"/>
    <x v="1"/>
    <n v="4.76"/>
    <n v="10694"/>
    <n v="8357"/>
    <n v="99"/>
    <n v="2257"/>
    <n v="2174"/>
    <n v="20"/>
    <n v="0.27007299000000001"/>
    <n v="0.20329156536375537"/>
    <n v="0.20329156536375537"/>
    <n v="0.445109407144193"/>
    <n v="9.257527585561998E-3"/>
    <n v="1.184635634797176E-2"/>
    <s v="Bad"/>
  </r>
  <r>
    <x v="4"/>
    <s v="Social_MK~OM_TG"/>
    <s v="Interests"/>
    <x v="0"/>
    <x v="1"/>
    <s v="Video"/>
    <x v="0"/>
    <n v="3.54"/>
    <n v="9061"/>
    <n v="5610"/>
    <n v="52"/>
    <n v="1701"/>
    <n v="1659"/>
    <n v="8"/>
    <n v="0.30320856000000002"/>
    <n v="0.18309237391016445"/>
    <n v="0.18309237391016445"/>
    <n v="0.39068535481734912"/>
    <n v="5.7388809182209472E-3"/>
    <n v="9.2691622103386814E-3"/>
    <s v="Bad"/>
  </r>
  <r>
    <x v="4"/>
    <s v="Social_MK~OM_TG"/>
    <s v="Interests"/>
    <x v="0"/>
    <x v="0"/>
    <s v="Video"/>
    <x v="1"/>
    <n v="3.51"/>
    <n v="6104"/>
    <n v="5596"/>
    <n v="96"/>
    <n v="2626"/>
    <n v="2533"/>
    <n v="5"/>
    <n v="0.46926375999999997"/>
    <n v="0.4149737876802097"/>
    <n v="0.4149737876802097"/>
    <n v="0.5750327653997378"/>
    <n v="1.5727391874180863E-2"/>
    <n v="1.7155110793423869E-2"/>
    <s v="Good"/>
  </r>
  <r>
    <x v="4"/>
    <s v="Social_MK~OM_TG"/>
    <s v="Interests"/>
    <x v="0"/>
    <x v="0"/>
    <s v="Video"/>
    <x v="1"/>
    <n v="1.63"/>
    <n v="3143"/>
    <n v="2495"/>
    <n v="14"/>
    <n v="977"/>
    <n v="970"/>
    <n v="833"/>
    <n v="0.39158316999999998"/>
    <n v="0.30862233534839323"/>
    <n v="0.30862233534839323"/>
    <n v="0.51861279032771235"/>
    <n v="4.4543429844097994E-3"/>
    <n v="5.6112224448897786E-3"/>
    <s v="Bad"/>
  </r>
  <r>
    <x v="4"/>
    <s v="Social_MK~OM_TG"/>
    <s v="Interests"/>
    <x v="0"/>
    <x v="1"/>
    <s v="Carousel"/>
    <x v="2"/>
    <n v="0.89"/>
    <n v="4659"/>
    <n v="3337"/>
    <n v="0"/>
    <n v="37"/>
    <n v="37"/>
    <n v="8"/>
    <n v="1.10878E-2"/>
    <n v="7.9416183730414251E-3"/>
    <n v="7.9416183730414251E-3"/>
    <n v="0.19102811762180724"/>
    <n v="0"/>
    <n v="0"/>
    <s v="Bad"/>
  </r>
  <r>
    <x v="4"/>
    <s v="Social_MK~OM_TG"/>
    <s v="Interests"/>
    <x v="0"/>
    <x v="1"/>
    <s v="Video"/>
    <x v="1"/>
    <n v="0.42"/>
    <n v="1115"/>
    <n v="969"/>
    <n v="3"/>
    <n v="233"/>
    <n v="232"/>
    <n v="194"/>
    <n v="0.24045407999999999"/>
    <n v="0.20807174887892377"/>
    <n v="0.20807174887892377"/>
    <n v="0.37668161434977576"/>
    <n v="2.6905829596412557E-3"/>
    <n v="3.095975232198143E-3"/>
    <s v="Bad"/>
  </r>
  <r>
    <x v="4"/>
    <s v="Social_MK~OM_TG"/>
    <s v="Interests"/>
    <x v="0"/>
    <x v="1"/>
    <s v="Video"/>
    <x v="2"/>
    <n v="0.02"/>
    <n v="57"/>
    <n v="42"/>
    <n v="0"/>
    <n v="31"/>
    <n v="31"/>
    <n v="0"/>
    <n v="0.73809524000000004"/>
    <n v="0.54385964912280704"/>
    <n v="0.54385964912280704"/>
    <n v="0.35087719298245618"/>
    <n v="0"/>
    <n v="0"/>
    <s v="Bad"/>
  </r>
  <r>
    <x v="4"/>
    <s v="Social_MK~OM_TG"/>
    <s v="Interests"/>
    <x v="0"/>
    <x v="0"/>
    <s v="Video"/>
    <x v="2"/>
    <n v="0.01"/>
    <n v="90"/>
    <n v="78"/>
    <n v="0"/>
    <n v="28"/>
    <n v="28"/>
    <n v="1"/>
    <n v="0.35897435999999999"/>
    <n v="0.31111111111111112"/>
    <n v="0.31111111111111112"/>
    <n v="0.11111111111111112"/>
    <n v="0"/>
    <n v="0"/>
    <s v="Bad"/>
  </r>
  <r>
    <x v="4"/>
    <s v="Social_MK~OM_TG"/>
    <s v="Interests"/>
    <x v="0"/>
    <x v="0"/>
    <s v="Video"/>
    <x v="2"/>
    <n v="0.01"/>
    <n v="78"/>
    <n v="64"/>
    <n v="0"/>
    <n v="27"/>
    <n v="27"/>
    <n v="0"/>
    <n v="0.421875"/>
    <n v="0.34615384615384615"/>
    <n v="0.34615384615384615"/>
    <n v="0.12820512820512819"/>
    <n v="0"/>
    <n v="0"/>
    <s v="Bad"/>
  </r>
  <r>
    <x v="4"/>
    <s v="Social_MK~OM_TG"/>
    <s v="Interests"/>
    <x v="0"/>
    <x v="0"/>
    <s v="Video"/>
    <x v="2"/>
    <n v="0.01"/>
    <n v="73"/>
    <n v="62"/>
    <n v="0"/>
    <n v="20"/>
    <n v="20"/>
    <n v="0"/>
    <n v="0.32258065000000002"/>
    <n v="0.27397260273972601"/>
    <n v="0.27397260273972601"/>
    <n v="0.13698630136986301"/>
    <n v="0"/>
    <n v="0"/>
    <s v="Bad"/>
  </r>
  <r>
    <x v="4"/>
    <s v="Social_MK~OM_TG"/>
    <s v="Interests"/>
    <x v="0"/>
    <x v="1"/>
    <s v="Video"/>
    <x v="2"/>
    <n v="0"/>
    <n v="42"/>
    <n v="34"/>
    <n v="0"/>
    <n v="17"/>
    <n v="17"/>
    <n v="0"/>
    <n v="0.5"/>
    <n v="0.40476190476190477"/>
    <n v="0.40476190476190477"/>
    <n v="0"/>
    <n v="0"/>
    <n v="0"/>
    <s v="Bad"/>
  </r>
  <r>
    <x v="4"/>
    <s v="Social_MK~OM_TG"/>
    <s v="Interests"/>
    <x v="0"/>
    <x v="1"/>
    <s v="Video"/>
    <x v="2"/>
    <n v="0"/>
    <n v="55"/>
    <n v="45"/>
    <n v="0"/>
    <n v="13"/>
    <n v="13"/>
    <n v="0"/>
    <n v="0.28888889000000001"/>
    <n v="0.23636363636363636"/>
    <n v="0.23636363636363636"/>
    <n v="0"/>
    <n v="0"/>
    <n v="0"/>
    <s v="Bad"/>
  </r>
  <r>
    <x v="5"/>
    <s v="Social_MK~QA_TG"/>
    <s v="Interests"/>
    <x v="0"/>
    <x v="0"/>
    <s v="Video"/>
    <x v="0"/>
    <n v="967.61"/>
    <n v="2296226"/>
    <n v="456578"/>
    <n v="10599"/>
    <n v="325628"/>
    <n v="318547"/>
    <n v="8571"/>
    <n v="0.71319248999999996"/>
    <n v="0.13872632746079872"/>
    <n v="0.13872632746079872"/>
    <n v="0.42139144840272691"/>
    <n v="4.6158348524927423E-3"/>
    <n v="2.321399629417098E-2"/>
    <s v="Bad"/>
  </r>
  <r>
    <x v="5"/>
    <s v="Social_MK~QA_TG"/>
    <s v="Interests"/>
    <x v="0"/>
    <x v="0"/>
    <s v="Video"/>
    <x v="1"/>
    <n v="418.6"/>
    <n v="737111"/>
    <n v="253378"/>
    <n v="5663"/>
    <n v="228050"/>
    <n v="223538"/>
    <n v="3000"/>
    <n v="0.90003867999999998"/>
    <n v="0.30326233091081262"/>
    <n v="0.30326233091081262"/>
    <n v="0.56789275970647579"/>
    <n v="7.6826963645909505E-3"/>
    <n v="2.235000670934335E-2"/>
    <s v="Bad"/>
  </r>
  <r>
    <x v="5"/>
    <s v="Social_MK~QA_TG"/>
    <s v="Interests"/>
    <x v="0"/>
    <x v="0"/>
    <s v="Static"/>
    <x v="1"/>
    <n v="379.39"/>
    <n v="1438856"/>
    <n v="360056"/>
    <n v="3591"/>
    <n v="2354"/>
    <n v="0"/>
    <n v="0"/>
    <n v="6.5378700000000003E-3"/>
    <n v="0"/>
    <n v="0"/>
    <n v="0.26367475272021662"/>
    <n v="2.4957327209950129E-3"/>
    <n v="9.973448574666163E-3"/>
    <s v="Bad"/>
  </r>
  <r>
    <x v="5"/>
    <s v="Social_MK~QA_TG"/>
    <s v="Interests"/>
    <x v="0"/>
    <x v="0"/>
    <s v="Video"/>
    <x v="0"/>
    <n v="269.02"/>
    <n v="1058536"/>
    <n v="304182"/>
    <n v="4284"/>
    <n v="55463"/>
    <n v="55163"/>
    <n v="1757"/>
    <n v="0.18233492000000001"/>
    <n v="5.2112540338731986E-2"/>
    <n v="5.2112540338731986E-2"/>
    <n v="0.25414345851251163"/>
    <n v="4.0470990122206518E-3"/>
    <n v="1.4083673590153259E-2"/>
    <s v="Bad"/>
  </r>
  <r>
    <x v="5"/>
    <s v="Social_MK~QA_TG"/>
    <s v="Interests"/>
    <x v="0"/>
    <x v="1"/>
    <s v="Video"/>
    <x v="0"/>
    <n v="264.85000000000002"/>
    <n v="580815"/>
    <n v="153249"/>
    <n v="1741"/>
    <n v="103529"/>
    <n v="102494"/>
    <n v="2314"/>
    <n v="0.67556068999999996"/>
    <n v="0.17646582818969897"/>
    <n v="0.17646582818969897"/>
    <n v="0.45599717638146398"/>
    <n v="2.997512116594785E-3"/>
    <n v="1.136059615397164E-2"/>
    <s v="Bad"/>
  </r>
  <r>
    <x v="5"/>
    <s v="Social_MK~QA_TG"/>
    <s v="Interests"/>
    <x v="0"/>
    <x v="1"/>
    <s v="Static"/>
    <x v="1"/>
    <n v="228.24"/>
    <n v="837278"/>
    <n v="280577"/>
    <n v="1948"/>
    <n v="1251"/>
    <n v="0"/>
    <n v="0"/>
    <n v="4.4586699999999996E-3"/>
    <n v="0"/>
    <n v="0"/>
    <n v="0.27259763184987545"/>
    <n v="2.326586868399743E-3"/>
    <n v="6.9428356565220959E-3"/>
    <s v="Bad"/>
  </r>
  <r>
    <x v="5"/>
    <s v="Social_MK~QA_TG"/>
    <s v="Interests"/>
    <x v="0"/>
    <x v="1"/>
    <s v="Video"/>
    <x v="1"/>
    <n v="180.71"/>
    <n v="711517"/>
    <n v="224572"/>
    <n v="2903"/>
    <n v="26758"/>
    <n v="26585"/>
    <n v="1556"/>
    <n v="0.1191511"/>
    <n v="3.7363829676592408E-2"/>
    <n v="3.7363829676592408E-2"/>
    <n v="0.25397847135064938"/>
    <n v="4.0800149539645574E-3"/>
    <n v="1.2926811891063889E-2"/>
    <s v="Bad"/>
  </r>
  <r>
    <x v="5"/>
    <s v="Social_MK~QA_TG"/>
    <s v="Interests"/>
    <x v="0"/>
    <x v="1"/>
    <s v="Video"/>
    <x v="1"/>
    <n v="110.37"/>
    <n v="420091"/>
    <n v="188258"/>
    <n v="1442"/>
    <n v="16964"/>
    <n v="16806"/>
    <n v="577"/>
    <n v="9.0110380000000004E-2"/>
    <n v="4.0005617830422453E-2"/>
    <n v="4.0005617830422453E-2"/>
    <n v="0.26272878971460945"/>
    <n v="3.4325896055854566E-3"/>
    <n v="7.6597010485610177E-3"/>
    <s v="Bad"/>
  </r>
  <r>
    <x v="5"/>
    <s v="Social_MK~QA_TG"/>
    <s v="Interests"/>
    <x v="0"/>
    <x v="0"/>
    <s v="Video"/>
    <x v="0"/>
    <n v="86.98"/>
    <n v="158990"/>
    <n v="51344"/>
    <n v="452"/>
    <n v="31104"/>
    <n v="30800"/>
    <n v="179"/>
    <n v="0.60579620000000001"/>
    <n v="0.19372287565255678"/>
    <n v="0.19372287565255678"/>
    <n v="0.54707843260582434"/>
    <n v="2.8429460972388201E-3"/>
    <n v="8.8033655344344035E-3"/>
    <s v="Bad"/>
  </r>
  <r>
    <x v="5"/>
    <s v="Social_MK~QA_TG"/>
    <s v="Interests"/>
    <x v="0"/>
    <x v="1"/>
    <s v="Video"/>
    <x v="1"/>
    <n v="85.53"/>
    <n v="92544"/>
    <n v="63281"/>
    <n v="1199"/>
    <n v="65083"/>
    <n v="63926"/>
    <n v="140"/>
    <n v="1.0284761600000001"/>
    <n v="0.69076331258644541"/>
    <n v="0.69076331258644541"/>
    <n v="0.92420902489626555"/>
    <n v="1.2955999308437069E-2"/>
    <n v="1.894723534710261E-2"/>
    <s v="Bad"/>
  </r>
  <r>
    <x v="5"/>
    <s v="Social_MK~QA_TG"/>
    <s v="Interests"/>
    <x v="0"/>
    <x v="0"/>
    <s v="Static"/>
    <x v="1"/>
    <n v="83.68"/>
    <n v="311567"/>
    <n v="138463"/>
    <n v="728"/>
    <n v="480"/>
    <n v="0"/>
    <n v="0"/>
    <n v="3.4666300000000001E-3"/>
    <n v="0"/>
    <n v="0"/>
    <n v="0.26857786607695938"/>
    <n v="2.336576081549073E-3"/>
    <n v="5.25772227959816E-3"/>
    <s v="Bad"/>
  </r>
  <r>
    <x v="5"/>
    <s v="Social_MK~QA_TG"/>
    <s v="Interests"/>
    <x v="0"/>
    <x v="1"/>
    <s v="Video"/>
    <x v="0"/>
    <n v="77.180000000000007"/>
    <n v="77489"/>
    <n v="51697"/>
    <n v="914"/>
    <n v="59467"/>
    <n v="58585"/>
    <n v="76"/>
    <n v="1.1502988599999999"/>
    <n v="0.7560427931706436"/>
    <n v="0.7560427931706436"/>
    <n v="0.99601233723496252"/>
    <n v="1.179522254771645E-2"/>
    <n v="1.767994274329265E-2"/>
    <s v="Bad"/>
  </r>
  <r>
    <x v="5"/>
    <s v="Social_MK~QA_TG"/>
    <s v="Interests"/>
    <x v="0"/>
    <x v="1"/>
    <s v="Video"/>
    <x v="0"/>
    <n v="67.23"/>
    <n v="267493"/>
    <n v="104406"/>
    <n v="1111"/>
    <n v="13931"/>
    <n v="13825"/>
    <n v="521"/>
    <n v="0.13343103000000001"/>
    <n v="5.1683595458572748E-2"/>
    <n v="5.1683595458572748E-2"/>
    <n v="0.25133367975984416"/>
    <n v="4.1533797146093539E-3"/>
    <n v="1.064115089171121E-2"/>
    <s v="Bad"/>
  </r>
  <r>
    <x v="5"/>
    <s v="Social_MK~QA_TG"/>
    <s v="Interests"/>
    <x v="0"/>
    <x v="0"/>
    <s v="Video"/>
    <x v="1"/>
    <n v="65.06"/>
    <n v="255383"/>
    <n v="120095"/>
    <n v="809"/>
    <n v="10352"/>
    <n v="10136"/>
    <n v="318"/>
    <n v="8.6198430000000006E-2"/>
    <n v="3.96894076739642E-2"/>
    <n v="3.96894076739642E-2"/>
    <n v="0.25475462344791944"/>
    <n v="3.1677911215703472E-3"/>
    <n v="6.7363337357924978E-3"/>
    <s v="Bad"/>
  </r>
  <r>
    <x v="5"/>
    <s v="Social_MK~QA_TG"/>
    <s v="Interests"/>
    <x v="0"/>
    <x v="0"/>
    <s v="Video"/>
    <x v="1"/>
    <n v="49.12"/>
    <n v="191753"/>
    <n v="102044"/>
    <n v="586"/>
    <n v="7337"/>
    <n v="7264"/>
    <n v="358"/>
    <n v="7.1900359999999996E-2"/>
    <n v="3.7882067034153311E-2"/>
    <n v="3.7882067034153311E-2"/>
    <n v="0.25616287620011158"/>
    <n v="3.0560147689997026E-3"/>
    <n v="5.7426208302300968E-3"/>
    <s v="Bad"/>
  </r>
  <r>
    <x v="5"/>
    <s v="Social_MK~QA_TG"/>
    <s v="Interests"/>
    <x v="0"/>
    <x v="0"/>
    <s v="Video"/>
    <x v="2"/>
    <n v="30.72"/>
    <n v="117023"/>
    <n v="74593"/>
    <n v="113"/>
    <n v="6697"/>
    <n v="6608"/>
    <n v="91"/>
    <n v="8.9780540000000006E-2"/>
    <n v="5.6467532023619288E-2"/>
    <n v="5.6467532023619288E-2"/>
    <n v="0.26251249754321798"/>
    <n v="9.6562214265571728E-4"/>
    <n v="1.5148874559275001E-3"/>
    <s v="Bad"/>
  </r>
  <r>
    <x v="5"/>
    <s v="Social_MK~QA_TG"/>
    <s v="Interests"/>
    <x v="0"/>
    <x v="0"/>
    <s v="Video"/>
    <x v="1"/>
    <n v="28.68"/>
    <n v="49703"/>
    <n v="33256"/>
    <n v="382"/>
    <n v="16660"/>
    <n v="16329"/>
    <n v="84"/>
    <n v="0.50096222999999995"/>
    <n v="0.32853147697322094"/>
    <n v="0.32853147697322094"/>
    <n v="0.57702754360903774"/>
    <n v="7.6856527774983403E-3"/>
    <n v="1.1486649025739719E-2"/>
    <s v="Bad"/>
  </r>
  <r>
    <x v="5"/>
    <s v="Social_MK~QA_TG"/>
    <s v="Interests"/>
    <x v="0"/>
    <x v="1"/>
    <s v="Video"/>
    <x v="1"/>
    <n v="28.35"/>
    <n v="105503"/>
    <n v="38712"/>
    <n v="214"/>
    <n v="1680"/>
    <n v="1596"/>
    <n v="1395"/>
    <n v="4.3397400000000003E-2"/>
    <n v="1.5127531918523644E-2"/>
    <n v="1.5127531918523644E-2"/>
    <n v="0.26871273802640688"/>
    <n v="2.0283783399524186E-3"/>
    <n v="5.5280016532341389E-3"/>
    <s v="Bad"/>
  </r>
  <r>
    <x v="5"/>
    <s v="Social_MK~QA_TG"/>
    <s v="Interests"/>
    <x v="0"/>
    <x v="0"/>
    <s v="Video"/>
    <x v="2"/>
    <n v="27.69"/>
    <n v="105138"/>
    <n v="70653"/>
    <n v="87"/>
    <n v="8310"/>
    <n v="8240"/>
    <n v="192"/>
    <n v="0.11761708999999999"/>
    <n v="7.8373185717818483E-2"/>
    <n v="7.8373185717818483E-2"/>
    <n v="0.26336814472407694"/>
    <n v="8.27483878331336E-4"/>
    <n v="1.2313702178251449E-3"/>
    <s v="Bad"/>
  </r>
  <r>
    <x v="5"/>
    <s v="Social_MK~QA_TG"/>
    <s v="Interests"/>
    <x v="0"/>
    <x v="1"/>
    <s v="Static"/>
    <x v="1"/>
    <n v="25.7"/>
    <n v="98011"/>
    <n v="47389"/>
    <n v="198"/>
    <n v="122"/>
    <n v="0"/>
    <n v="0"/>
    <n v="2.5744399999999999E-3"/>
    <n v="0"/>
    <n v="0"/>
    <n v="0.26221546561100284"/>
    <n v="2.0201814082092826E-3"/>
    <n v="4.1781848108210767E-3"/>
    <s v="Bad"/>
  </r>
  <r>
    <x v="5"/>
    <s v="Social_MK~QA_TG"/>
    <s v="Interests"/>
    <x v="0"/>
    <x v="1"/>
    <s v="Video"/>
    <x v="2"/>
    <n v="24.08"/>
    <n v="91545"/>
    <n v="57041"/>
    <n v="38"/>
    <n v="4561"/>
    <n v="4525"/>
    <n v="64"/>
    <n v="7.9960030000000001E-2"/>
    <n v="4.9429242449068767E-2"/>
    <n v="4.9429242449068767E-2"/>
    <n v="0.26304003495548633"/>
    <n v="4.1509640067726253E-4"/>
    <n v="6.6618747918164125E-4"/>
    <s v="Bad"/>
  </r>
  <r>
    <x v="5"/>
    <s v="Social_MK~QA_TG"/>
    <s v="Interests"/>
    <x v="0"/>
    <x v="1"/>
    <s v="Video"/>
    <x v="1"/>
    <n v="24"/>
    <n v="31793"/>
    <n v="22840"/>
    <n v="332"/>
    <n v="17338"/>
    <n v="17042"/>
    <n v="81"/>
    <n v="0.75910683000000001"/>
    <n v="0.53602994369829837"/>
    <n v="0.53602994369829837"/>
    <n v="0.75488315037901432"/>
    <n v="1.0442550246909698E-2"/>
    <n v="1.4535901926444829E-2"/>
    <s v="Bad"/>
  </r>
  <r>
    <x v="5"/>
    <s v="Social_MK~QA_TG"/>
    <s v="Interests"/>
    <x v="0"/>
    <x v="1"/>
    <s v="Video"/>
    <x v="0"/>
    <n v="23.99"/>
    <n v="45258"/>
    <n v="29496"/>
    <n v="217"/>
    <n v="14046"/>
    <n v="13890"/>
    <n v="44"/>
    <n v="0.47620015999999998"/>
    <n v="0.30690706615405011"/>
    <n v="0.30690706615405011"/>
    <n v="0.53007203146405046"/>
    <n v="4.7947324229970388E-3"/>
    <n v="7.356929753186873E-3"/>
    <s v="Bad"/>
  </r>
  <r>
    <x v="5"/>
    <s v="Social_MK~QA_TG"/>
    <s v="Interests"/>
    <x v="0"/>
    <x v="1"/>
    <s v="Video"/>
    <x v="1"/>
    <n v="22.74"/>
    <n v="25953"/>
    <n v="16905"/>
    <n v="253"/>
    <n v="16246"/>
    <n v="16007"/>
    <n v="10"/>
    <n v="0.96101745000000005"/>
    <n v="0.61676877432281429"/>
    <n v="0.61676877432281429"/>
    <n v="0.87619928331984731"/>
    <n v="9.7483913227757873E-3"/>
    <n v="1.4965986394557819E-2"/>
    <s v="Bad"/>
  </r>
  <r>
    <x v="5"/>
    <s v="Social_MK~QA_TG"/>
    <s v="Interests"/>
    <x v="0"/>
    <x v="1"/>
    <s v="Video"/>
    <x v="0"/>
    <n v="22.61"/>
    <n v="90035"/>
    <n v="43326"/>
    <n v="325"/>
    <n v="4516"/>
    <n v="4475"/>
    <n v="202"/>
    <n v="0.10423302"/>
    <n v="4.9702893319264731E-2"/>
    <n v="4.9702893319264731E-2"/>
    <n v="0.25112456267007272"/>
    <n v="3.6097073360359861E-3"/>
    <n v="7.5012694455984857E-3"/>
    <s v="Bad"/>
  </r>
  <r>
    <x v="5"/>
    <s v="Social_MK~QA_TG"/>
    <s v="Interests"/>
    <x v="0"/>
    <x v="0"/>
    <s v="Static"/>
    <x v="1"/>
    <n v="20.41"/>
    <n v="77493"/>
    <n v="40014"/>
    <n v="160"/>
    <n v="108"/>
    <n v="0"/>
    <n v="0"/>
    <n v="2.6990600000000001E-3"/>
    <n v="0"/>
    <n v="0"/>
    <n v="0.26337862774702231"/>
    <n v="2.0647026183010079E-3"/>
    <n v="3.9986004898285602E-3"/>
    <s v="Bad"/>
  </r>
  <r>
    <x v="5"/>
    <s v="Social_MK~QA_TG"/>
    <s v="Interests"/>
    <x v="0"/>
    <x v="1"/>
    <s v="Video"/>
    <x v="1"/>
    <n v="20.350000000000001"/>
    <n v="81139"/>
    <n v="43053"/>
    <n v="254"/>
    <n v="2013"/>
    <n v="1977"/>
    <n v="94"/>
    <n v="4.6756319999999997E-2"/>
    <n v="2.4365594843416851E-2"/>
    <n v="2.4365594843416851E-2"/>
    <n v="0.25080417555059842"/>
    <n v="3.1304304958158224E-3"/>
    <n v="5.8997050147492616E-3"/>
    <s v="Bad"/>
  </r>
  <r>
    <x v="5"/>
    <s v="Social_MK~QA_TG"/>
    <s v="Interests"/>
    <x v="0"/>
    <x v="1"/>
    <s v="Video"/>
    <x v="0"/>
    <n v="18.41"/>
    <n v="71372"/>
    <n v="33128"/>
    <n v="191"/>
    <n v="2142"/>
    <n v="2100"/>
    <n v="62"/>
    <n v="6.4658300000000002E-2"/>
    <n v="2.9423303256178895E-2"/>
    <n v="2.9423303256178895E-2"/>
    <n v="0.25794429187916834"/>
    <n v="2.6761194866334135E-3"/>
    <n v="5.7655155759478386E-3"/>
    <s v="Bad"/>
  </r>
  <r>
    <x v="5"/>
    <s v="Social_MK~QA_TG"/>
    <s v="Interests"/>
    <x v="0"/>
    <x v="0"/>
    <s v="Video"/>
    <x v="0"/>
    <n v="17.329999999999998"/>
    <n v="68617"/>
    <n v="39215"/>
    <n v="180"/>
    <n v="2680"/>
    <n v="2665"/>
    <n v="68"/>
    <n v="6.8341200000000005E-2"/>
    <n v="3.8838771732952478E-2"/>
    <n v="3.8838771732952478E-2"/>
    <n v="0.25256131862366465"/>
    <n v="2.6232566273663963E-3"/>
    <n v="4.5900803264057122E-3"/>
    <s v="Bad"/>
  </r>
  <r>
    <x v="5"/>
    <s v="Social_MK~QA_TG"/>
    <s v="Interests"/>
    <x v="0"/>
    <x v="1"/>
    <s v="Video"/>
    <x v="2"/>
    <n v="15.52"/>
    <n v="59902"/>
    <n v="44072"/>
    <n v="35"/>
    <n v="2393"/>
    <n v="2361"/>
    <n v="31"/>
    <n v="5.429751E-2"/>
    <n v="3.9414376815465259E-2"/>
    <n v="3.9414376815465259E-2"/>
    <n v="0.25908984674969116"/>
    <n v="5.842876698607726E-4"/>
    <n v="7.9415501905972044E-4"/>
    <s v="Bad"/>
  </r>
  <r>
    <x v="5"/>
    <s v="Social_MK~QA_TG"/>
    <s v="Interests"/>
    <x v="0"/>
    <x v="1"/>
    <s v="Static"/>
    <x v="1"/>
    <n v="15.16"/>
    <n v="57561"/>
    <n v="25560"/>
    <n v="164"/>
    <n v="105"/>
    <n v="0"/>
    <n v="0"/>
    <n v="4.1079799999999998E-3"/>
    <n v="0"/>
    <n v="0"/>
    <n v="0.26337276975730095"/>
    <n v="2.8491513351053665E-3"/>
    <n v="6.4162754303599377E-3"/>
    <s v="Bad"/>
  </r>
  <r>
    <x v="5"/>
    <s v="Social_MK~QA_TG"/>
    <s v="Interests"/>
    <x v="0"/>
    <x v="1"/>
    <s v="Video"/>
    <x v="2"/>
    <n v="14.91"/>
    <n v="58612"/>
    <n v="44033"/>
    <n v="47"/>
    <n v="3740"/>
    <n v="3700"/>
    <n v="117"/>
    <n v="8.4936300000000006E-2"/>
    <n v="6.3127004708933329E-2"/>
    <n v="6.3127004708933329E-2"/>
    <n v="0.25438476762437728"/>
    <n v="8.018835733296936E-4"/>
    <n v="1.0673812822201529E-3"/>
    <s v="Bad"/>
  </r>
  <r>
    <x v="5"/>
    <s v="Social_MK~QA_TG"/>
    <s v="Interests"/>
    <x v="0"/>
    <x v="0"/>
    <s v="Video"/>
    <x v="1"/>
    <n v="14.27"/>
    <n v="56645"/>
    <n v="36088"/>
    <n v="170"/>
    <n v="1835"/>
    <n v="1822"/>
    <n v="71"/>
    <n v="5.084793E-2"/>
    <n v="3.2165239650454584E-2"/>
    <n v="3.2165239650454584E-2"/>
    <n v="0.25191985170800602"/>
    <n v="3.0011474975726012E-3"/>
    <n v="4.7107071602748834E-3"/>
    <s v="Bad"/>
  </r>
  <r>
    <x v="5"/>
    <s v="Social_MK~QA_TG"/>
    <s v="Interests"/>
    <x v="0"/>
    <x v="0"/>
    <s v="Video"/>
    <x v="1"/>
    <n v="13.8"/>
    <n v="54314"/>
    <n v="27455"/>
    <n v="101"/>
    <n v="847"/>
    <n v="823"/>
    <n v="712"/>
    <n v="3.085048E-2"/>
    <n v="1.5152630997532864E-2"/>
    <n v="1.5152630997532864E-2"/>
    <n v="0.25407813823323638"/>
    <n v="1.8595573885186139E-3"/>
    <n v="3.678747040611911E-3"/>
    <s v="Bad"/>
  </r>
  <r>
    <x v="5"/>
    <s v="Social_MK~QA_TG"/>
    <s v="Interests"/>
    <x v="0"/>
    <x v="0"/>
    <s v="Video"/>
    <x v="2"/>
    <n v="12.92"/>
    <n v="52325"/>
    <n v="43855"/>
    <n v="42"/>
    <n v="2726"/>
    <n v="2688"/>
    <n v="18"/>
    <n v="6.2159390000000002E-2"/>
    <n v="5.1371237458193983E-2"/>
    <n v="5.1371237458193983E-2"/>
    <n v="0.24691829909221213"/>
    <n v="8.0267558528428098E-4"/>
    <n v="9.5770151636073427E-4"/>
    <s v="Bad"/>
  </r>
  <r>
    <x v="5"/>
    <s v="Social_MK~QA_TG"/>
    <s v="Interests"/>
    <x v="0"/>
    <x v="0"/>
    <s v="Video"/>
    <x v="0"/>
    <n v="12.67"/>
    <n v="49744"/>
    <n v="31183"/>
    <n v="128"/>
    <n v="2288"/>
    <n v="2265"/>
    <n v="95"/>
    <n v="7.3373309999999997E-2"/>
    <n v="4.5533129623673209E-2"/>
    <n v="4.5533129623673209E-2"/>
    <n v="0.2547040849147636"/>
    <n v="2.5731746542296558E-3"/>
    <n v="4.1048006926851172E-3"/>
    <s v="Bad"/>
  </r>
  <r>
    <x v="5"/>
    <s v="Social_MK~QA_TG"/>
    <s v="Interests"/>
    <x v="0"/>
    <x v="1"/>
    <s v="Carousel"/>
    <x v="1"/>
    <n v="12.32"/>
    <n v="45942"/>
    <n v="27576"/>
    <n v="99"/>
    <n v="2114"/>
    <n v="2060"/>
    <n v="2027"/>
    <n v="7.6660859999999997E-2"/>
    <n v="4.4839145008924296E-2"/>
    <n v="4.4839145008924296E-2"/>
    <n v="0.26816420704366378"/>
    <n v="2.1548909494580122E-3"/>
    <n v="3.590078328981723E-3"/>
    <s v="Bad"/>
  </r>
  <r>
    <x v="5"/>
    <s v="Social_MK~QA_TG"/>
    <s v="Interests"/>
    <x v="0"/>
    <x v="0"/>
    <s v="Carousel"/>
    <x v="1"/>
    <n v="9.2200000000000006"/>
    <n v="33887"/>
    <n v="23376"/>
    <n v="69"/>
    <n v="1167"/>
    <n v="1130"/>
    <n v="1159"/>
    <n v="4.9923000000000002E-2"/>
    <n v="3.3346120931330596E-2"/>
    <n v="3.3346120931330596E-2"/>
    <n v="0.27208073892643198"/>
    <n v="2.0361790657184172E-3"/>
    <n v="2.9517453798767971E-3"/>
    <s v="Bad"/>
  </r>
  <r>
    <x v="5"/>
    <s v="Social_MK~QA_TG"/>
    <s v="Interests"/>
    <x v="0"/>
    <x v="0"/>
    <s v="Video"/>
    <x v="1"/>
    <n v="9.06"/>
    <n v="16424"/>
    <n v="11632"/>
    <n v="122"/>
    <n v="4710"/>
    <n v="4611"/>
    <n v="58"/>
    <n v="0.40491747"/>
    <n v="0.28074768631271313"/>
    <n v="0.28074768631271313"/>
    <n v="0.55163175840233802"/>
    <n v="7.4281539210910861E-3"/>
    <n v="1.048830811554333E-2"/>
    <s v="Bad"/>
  </r>
  <r>
    <x v="5"/>
    <s v="Social_MK~QA_TG"/>
    <s v="Interests"/>
    <x v="0"/>
    <x v="0"/>
    <s v="Video"/>
    <x v="0"/>
    <n v="8.9600000000000009"/>
    <n v="16746"/>
    <n v="12884"/>
    <n v="112"/>
    <n v="4476"/>
    <n v="4384"/>
    <n v="46"/>
    <n v="0.34740764000000002"/>
    <n v="0.26179386122059001"/>
    <n v="0.26179386122059001"/>
    <n v="0.53505314702018392"/>
    <n v="6.6881643377522991E-3"/>
    <n v="8.6929524992238431E-3"/>
    <s v="Bad"/>
  </r>
  <r>
    <x v="5"/>
    <s v="Social_MK~QA_TG"/>
    <s v="Interests"/>
    <x v="0"/>
    <x v="0"/>
    <s v="Video"/>
    <x v="1"/>
    <n v="0.5"/>
    <n v="1454"/>
    <n v="1032"/>
    <n v="5"/>
    <n v="104"/>
    <n v="101"/>
    <n v="86"/>
    <n v="0.10077519"/>
    <n v="6.9463548830811558E-2"/>
    <n v="6.9463548830811558E-2"/>
    <n v="0.34387895460797802"/>
    <n v="3.4387895460797797E-3"/>
    <n v="4.8449612403100766E-3"/>
    <s v="Bad"/>
  </r>
  <r>
    <x v="5"/>
    <s v="Social_MK~QA_TG"/>
    <s v="Interests"/>
    <x v="0"/>
    <x v="1"/>
    <s v="Video"/>
    <x v="1"/>
    <n v="0.21"/>
    <n v="564"/>
    <n v="421"/>
    <n v="2"/>
    <n v="79"/>
    <n v="78"/>
    <n v="68"/>
    <n v="0.18764845999999999"/>
    <n v="0.13829787234042554"/>
    <n v="0.13829787234042554"/>
    <n v="0.37234042553191488"/>
    <n v="3.5460992907801418E-3"/>
    <n v="4.7505938242280287E-3"/>
    <s v="Bad"/>
  </r>
  <r>
    <x v="5"/>
    <s v="Social_MK~QA_TG"/>
    <s v="Interests"/>
    <x v="0"/>
    <x v="0"/>
    <s v="Video"/>
    <x v="2"/>
    <n v="0"/>
    <n v="1"/>
    <n v="1"/>
    <n v="0"/>
    <n v="0"/>
    <n v="0"/>
    <n v="0"/>
    <n v="0"/>
    <n v="0"/>
    <n v="0"/>
    <n v="0"/>
    <n v="0"/>
    <n v="0"/>
    <s v="Bad"/>
  </r>
  <r>
    <x v="5"/>
    <s v="Social_MK~QA_TG"/>
    <s v="Interests"/>
    <x v="0"/>
    <x v="0"/>
    <s v="Video"/>
    <x v="2"/>
    <n v="0"/>
    <n v="1"/>
    <n v="1"/>
    <n v="0"/>
    <n v="0"/>
    <n v="0"/>
    <n v="0"/>
    <n v="0"/>
    <n v="0"/>
    <n v="0"/>
    <n v="0"/>
    <n v="0"/>
    <n v="0"/>
    <s v="Bad"/>
  </r>
  <r>
    <x v="5"/>
    <s v="Social_MK~QA_TG"/>
    <s v="Interests"/>
    <x v="0"/>
    <x v="1"/>
    <s v="Video"/>
    <x v="2"/>
    <n v="0"/>
    <n v="7"/>
    <n v="7"/>
    <n v="0"/>
    <n v="0"/>
    <n v="0"/>
    <n v="0"/>
    <n v="0"/>
    <n v="0"/>
    <n v="0"/>
    <n v="0"/>
    <n v="0"/>
    <n v="0"/>
    <s v="Bad"/>
  </r>
  <r>
    <x v="5"/>
    <s v="Social_MK~QA_TG"/>
    <s v="Interests"/>
    <x v="0"/>
    <x v="1"/>
    <s v="Video"/>
    <x v="2"/>
    <n v="0"/>
    <n v="3"/>
    <n v="3"/>
    <n v="0"/>
    <n v="0"/>
    <n v="0"/>
    <n v="0"/>
    <n v="0"/>
    <n v="0"/>
    <n v="0"/>
    <n v="0"/>
    <n v="0"/>
    <n v="0"/>
    <s v="Bad"/>
  </r>
  <r>
    <x v="5"/>
    <s v="Social_MK~QA_TG"/>
    <s v="Interests"/>
    <x v="0"/>
    <x v="1"/>
    <s v="Video"/>
    <x v="2"/>
    <n v="0"/>
    <n v="2"/>
    <n v="2"/>
    <n v="0"/>
    <n v="0"/>
    <n v="0"/>
    <n v="0"/>
    <n v="0"/>
    <n v="0"/>
    <n v="0"/>
    <n v="0"/>
    <n v="0"/>
    <n v="0"/>
    <s v="Bad"/>
  </r>
  <r>
    <x v="6"/>
    <s v="Social_MK~RIY_TG"/>
    <s v="Interests"/>
    <x v="0"/>
    <x v="0"/>
    <s v="Video"/>
    <x v="0"/>
    <n v="5022.12"/>
    <n v="6014321"/>
    <n v="679301"/>
    <n v="26667"/>
    <n v="1191803"/>
    <n v="1174872"/>
    <n v="17334"/>
    <n v="1.75445495"/>
    <n v="0.19534574227082327"/>
    <n v="0.19534574227082327"/>
    <n v="0.83502692988950866"/>
    <n v="4.4339169791569157E-3"/>
    <n v="3.9256529874091159E-2"/>
    <s v="Bad"/>
  </r>
  <r>
    <x v="6"/>
    <s v="Social_MK~RIY_TG"/>
    <s v="Interests"/>
    <x v="0"/>
    <x v="0"/>
    <s v="Video"/>
    <x v="1"/>
    <n v="2394.12"/>
    <n v="4944626"/>
    <n v="782299"/>
    <n v="18676"/>
    <n v="272564"/>
    <n v="268649"/>
    <n v="7782"/>
    <n v="0.3484141"/>
    <n v="5.4331510613745103E-2"/>
    <n v="5.4331510613745103E-2"/>
    <n v="0.48418626605935411"/>
    <n v="3.7770298501848269E-3"/>
    <n v="2.3873224943403989E-2"/>
    <s v="Bad"/>
  </r>
  <r>
    <x v="6"/>
    <s v="Social_MK~RIY_TG"/>
    <s v="Interests"/>
    <x v="0"/>
    <x v="0"/>
    <s v="Video"/>
    <x v="0"/>
    <n v="1817.1"/>
    <n v="3698744"/>
    <n v="618233"/>
    <n v="15163"/>
    <n v="252826"/>
    <n v="247959"/>
    <n v="8277"/>
    <n v="0.40894937999999997"/>
    <n v="6.7038702867784308E-2"/>
    <n v="6.7038702867784308E-2"/>
    <n v="0.49127487601196512"/>
    <n v="4.0994997220678156E-3"/>
    <n v="2.452635171529181E-2"/>
    <s v="Bad"/>
  </r>
  <r>
    <x v="6"/>
    <s v="Social_MK~RIY_TG"/>
    <s v="Interests"/>
    <x v="0"/>
    <x v="0"/>
    <s v="Video"/>
    <x v="1"/>
    <n v="812.65"/>
    <n v="1693662"/>
    <n v="453492"/>
    <n v="6074"/>
    <n v="94004"/>
    <n v="93083"/>
    <n v="4325"/>
    <n v="0.20728921"/>
    <n v="5.495960823352003E-2"/>
    <n v="5.495960823352003E-2"/>
    <n v="0.4798182872379495"/>
    <n v="3.5863117906642528E-3"/>
    <n v="1.339384156721618E-2"/>
    <s v="Bad"/>
  </r>
  <r>
    <x v="6"/>
    <s v="Social_MK~RIY_TG"/>
    <s v="Interests"/>
    <x v="0"/>
    <x v="0"/>
    <s v="Video"/>
    <x v="0"/>
    <n v="774.33"/>
    <n v="1020810"/>
    <n v="153185"/>
    <n v="2761"/>
    <n v="172555"/>
    <n v="170898"/>
    <n v="1612"/>
    <n v="1.1264484100000001"/>
    <n v="0.16741411232256737"/>
    <n v="0.16741411232256737"/>
    <n v="0.75854468510300643"/>
    <n v="2.7047148832789647E-3"/>
    <n v="1.802395795933022E-2"/>
    <s v="Bad"/>
  </r>
  <r>
    <x v="6"/>
    <s v="Social_MK~RIY_TG"/>
    <s v="Interests"/>
    <x v="0"/>
    <x v="0"/>
    <s v="Video"/>
    <x v="1"/>
    <n v="660.57"/>
    <n v="384737"/>
    <n v="166691"/>
    <n v="4500"/>
    <n v="275911"/>
    <n v="271653"/>
    <n v="1024"/>
    <n v="1.65522434"/>
    <n v="0.7060745392306953"/>
    <n v="0.7060745392306953"/>
    <n v="1.7169391038553612"/>
    <n v="1.1696301629424775E-2"/>
    <n v="2.6996058575447981E-2"/>
    <s v="Bad"/>
  </r>
  <r>
    <x v="6"/>
    <s v="Social_MK~RIY_TG"/>
    <s v="Interests"/>
    <x v="0"/>
    <x v="0"/>
    <s v="Video"/>
    <x v="0"/>
    <n v="639.01"/>
    <n v="871077"/>
    <n v="274884"/>
    <n v="4412"/>
    <n v="156507"/>
    <n v="153505"/>
    <n v="4221"/>
    <n v="0.56935652999999997"/>
    <n v="0.17622437511264791"/>
    <n v="0.17622437511264791"/>
    <n v="0.73358612384439026"/>
    <n v="5.0649942542392926E-3"/>
    <n v="1.605040671701518E-2"/>
    <s v="Bad"/>
  </r>
  <r>
    <x v="6"/>
    <s v="Social_MK~RIY_TG"/>
    <s v="Interests"/>
    <x v="0"/>
    <x v="0"/>
    <s v="Video"/>
    <x v="1"/>
    <n v="597.04"/>
    <n v="543960"/>
    <n v="184035"/>
    <n v="5011"/>
    <n v="188072"/>
    <n v="184122"/>
    <n v="2094"/>
    <n v="1.0219360399999999"/>
    <n v="0.33848444738583722"/>
    <n v="0.33848444738583722"/>
    <n v="1.0975807044635633"/>
    <n v="9.2120744172365619E-3"/>
    <n v="2.7228516314831419E-2"/>
    <s v="Bad"/>
  </r>
  <r>
    <x v="6"/>
    <s v="Social_MK~RIY_TG"/>
    <s v="Interests"/>
    <x v="0"/>
    <x v="0"/>
    <s v="Video"/>
    <x v="1"/>
    <n v="493.06"/>
    <n v="1037101"/>
    <n v="300537"/>
    <n v="3147"/>
    <n v="34933"/>
    <n v="33878"/>
    <n v="30016"/>
    <n v="0.11623527"/>
    <n v="3.2666056632864107E-2"/>
    <n v="3.2666056632864107E-2"/>
    <n v="0.47542139097349245"/>
    <n v="3.0344199841674051E-3"/>
    <n v="1.0471256450952791E-2"/>
    <s v="Bad"/>
  </r>
  <r>
    <x v="6"/>
    <s v="Social_MK~RIY_TG"/>
    <s v="CDP"/>
    <x v="1"/>
    <x v="0"/>
    <s v="Video"/>
    <x v="0"/>
    <n v="412.21"/>
    <n v="192279"/>
    <n v="11104"/>
    <n v="1331"/>
    <n v="41316"/>
    <n v="40337"/>
    <n v="627"/>
    <n v="3.7208213300000001"/>
    <n v="0.20978369972799943"/>
    <n v="0.20978369972799943"/>
    <n v="2.1438118567290241"/>
    <n v="6.9222327971333319E-3"/>
    <n v="0.1198667146974063"/>
    <s v="Bad"/>
  </r>
  <r>
    <x v="6"/>
    <s v="Social_MK~RIY_TG"/>
    <s v="CDP"/>
    <x v="1"/>
    <x v="0"/>
    <s v="Video"/>
    <x v="1"/>
    <n v="190.57"/>
    <n v="117298"/>
    <n v="8500"/>
    <n v="593"/>
    <n v="8190"/>
    <n v="8060"/>
    <n v="223"/>
    <n v="0.96352941000000003"/>
    <n v="6.8713874064348923E-2"/>
    <n v="6.8713874064348923E-2"/>
    <n v="1.6246653821889545"/>
    <n v="5.055499667513513E-3"/>
    <n v="6.9764705882352937E-2"/>
    <s v="Bad"/>
  </r>
  <r>
    <x v="6"/>
    <s v="Social_MK~RIY_TG"/>
    <s v="Interests"/>
    <x v="0"/>
    <x v="0"/>
    <s v="Video"/>
    <x v="0"/>
    <n v="179.24"/>
    <n v="384260"/>
    <n v="167932"/>
    <n v="1247"/>
    <n v="21353"/>
    <n v="21049"/>
    <n v="1030"/>
    <n v="0.12715266"/>
    <n v="5.4778014885754435E-2"/>
    <n v="5.4778014885754435E-2"/>
    <n v="0.46645500442408788"/>
    <n v="3.2451985634726487E-3"/>
    <n v="7.4256246575995048E-3"/>
    <s v="Bad"/>
  </r>
  <r>
    <x v="6"/>
    <s v="Social_MK~RIY_TG"/>
    <s v="Interests"/>
    <x v="0"/>
    <x v="0"/>
    <s v="Video"/>
    <x v="2"/>
    <n v="161.22999999999999"/>
    <n v="337379"/>
    <n v="160759"/>
    <n v="269"/>
    <n v="28456"/>
    <n v="28240"/>
    <n v="398"/>
    <n v="0.17701031"/>
    <n v="8.3704083538098106E-2"/>
    <n v="8.3704083538098106E-2"/>
    <n v="0.47788985087987096"/>
    <n v="7.97322892059079E-4"/>
    <n v="1.6733122251320299E-3"/>
    <s v="Bad"/>
  </r>
  <r>
    <x v="6"/>
    <s v="Social_MK~RIY_TG"/>
    <s v="CDP"/>
    <x v="1"/>
    <x v="0"/>
    <s v="Video"/>
    <x v="0"/>
    <n v="152.34"/>
    <n v="92582"/>
    <n v="8678"/>
    <n v="551"/>
    <n v="9051"/>
    <n v="8812"/>
    <n v="283"/>
    <n v="1.0429822500000001"/>
    <n v="9.5180488647901323E-2"/>
    <n v="9.5180488647901323E-2"/>
    <n v="1.6454602406515306"/>
    <n v="5.9514808494091727E-3"/>
    <n v="6.349389260198203E-2"/>
    <s v="Bad"/>
  </r>
  <r>
    <x v="6"/>
    <s v="Social_MK~RIY_TG"/>
    <s v="CDP"/>
    <x v="1"/>
    <x v="0"/>
    <s v="Video"/>
    <x v="1"/>
    <n v="139.19999999999999"/>
    <n v="32438"/>
    <n v="6254"/>
    <n v="755"/>
    <n v="24100"/>
    <n v="23370"/>
    <n v="114"/>
    <n v="3.85353374"/>
    <n v="0.72045132252296684"/>
    <n v="0.72045132252296684"/>
    <n v="4.2912633331278123"/>
    <n v="2.3275171095628582E-2"/>
    <n v="0.1207227374480333"/>
    <s v="Good"/>
  </r>
  <r>
    <x v="6"/>
    <s v="Social_MK~RIY_TG"/>
    <s v="Interests"/>
    <x v="0"/>
    <x v="0"/>
    <s v="Video"/>
    <x v="1"/>
    <n v="137.25"/>
    <n v="296643"/>
    <n v="118363"/>
    <n v="1025"/>
    <n v="12605"/>
    <n v="12397"/>
    <n v="373"/>
    <n v="0.10649443"/>
    <n v="4.1790974336154904E-2"/>
    <n v="4.1790974336154904E-2"/>
    <n v="0.46267735965453421"/>
    <n v="3.4553318298426055E-3"/>
    <n v="8.659800782339076E-3"/>
    <s v="Bad"/>
  </r>
  <r>
    <x v="6"/>
    <s v="Social_MK~RIY_TG"/>
    <s v="CDP"/>
    <x v="1"/>
    <x v="0"/>
    <s v="Video"/>
    <x v="0"/>
    <n v="118.09"/>
    <n v="65456"/>
    <n v="4878"/>
    <n v="333"/>
    <n v="11756"/>
    <n v="11531"/>
    <n v="108"/>
    <n v="2.4100041000000001"/>
    <n v="0.17616414079687118"/>
    <n v="0.17616414079687118"/>
    <n v="1.804112686384747"/>
    <n v="5.0873869469567345E-3"/>
    <n v="6.8265682656826573E-2"/>
    <s v="Bad"/>
  </r>
  <r>
    <x v="6"/>
    <s v="Social_MK~RIY_TG"/>
    <s v="CDP"/>
    <x v="1"/>
    <x v="0"/>
    <s v="Video"/>
    <x v="1"/>
    <n v="116.38"/>
    <n v="71918"/>
    <n v="8428"/>
    <n v="315"/>
    <n v="6378"/>
    <n v="6318"/>
    <n v="240"/>
    <n v="0.75676317000000004"/>
    <n v="8.7850051447481856E-2"/>
    <n v="8.7850051447481856E-2"/>
    <n v="1.6182318751911899"/>
    <n v="4.379988320031147E-3"/>
    <n v="3.7375415282392029E-2"/>
    <s v="Bad"/>
  </r>
  <r>
    <x v="6"/>
    <s v="Social_MK~RIY_TG"/>
    <s v="Interests"/>
    <x v="0"/>
    <x v="0"/>
    <s v="Video"/>
    <x v="2"/>
    <n v="111.56"/>
    <n v="241516"/>
    <n v="131827"/>
    <n v="141"/>
    <n v="15407"/>
    <n v="15291"/>
    <n v="153"/>
    <n v="0.11687287"/>
    <n v="6.3312575564351839E-2"/>
    <n v="6.3312575564351839E-2"/>
    <n v="0.46191556667053119"/>
    <n v="5.8381225260438236E-4"/>
    <n v="1.06958362095777E-3"/>
    <s v="Bad"/>
  </r>
  <r>
    <x v="6"/>
    <s v="Social_MK~RIY_TG"/>
    <s v="Interests"/>
    <x v="0"/>
    <x v="0"/>
    <s v="Video"/>
    <x v="0"/>
    <n v="108"/>
    <n v="229721"/>
    <n v="89503"/>
    <n v="791"/>
    <n v="12345"/>
    <n v="12151"/>
    <n v="366"/>
    <n v="0.13792834000000001"/>
    <n v="5.289459823002686E-2"/>
    <n v="5.289459823002686E-2"/>
    <n v="0.47013551220828742"/>
    <n v="3.4433073162662533E-3"/>
    <n v="8.8376925913097888E-3"/>
    <s v="Bad"/>
  </r>
  <r>
    <x v="6"/>
    <s v="Social_MK~RIY_TG"/>
    <s v="CDP"/>
    <x v="1"/>
    <x v="0"/>
    <s v="Video"/>
    <x v="1"/>
    <n v="89.99"/>
    <n v="26144"/>
    <n v="5840"/>
    <n v="428"/>
    <n v="14319"/>
    <n v="13922"/>
    <n v="84"/>
    <n v="2.4518835600000002"/>
    <n v="0.53251223990208074"/>
    <n v="0.53251223990208074"/>
    <n v="3.4420899632802935"/>
    <n v="1.6370869033047734E-2"/>
    <n v="7.3287671232876717E-2"/>
    <s v="Good"/>
  </r>
  <r>
    <x v="6"/>
    <s v="Social_MK~RIY_TG"/>
    <s v="CDP"/>
    <x v="1"/>
    <x v="0"/>
    <s v="Video"/>
    <x v="0"/>
    <n v="77.89"/>
    <n v="33945"/>
    <n v="6162"/>
    <n v="316"/>
    <n v="9829"/>
    <n v="9561"/>
    <n v="179"/>
    <n v="1.5950989900000001"/>
    <n v="0.28166151126822803"/>
    <n v="0.28166151126822803"/>
    <n v="2.2945941964943293"/>
    <n v="9.3091766092207977E-3"/>
    <n v="5.128205128205128E-2"/>
    <s v="Bad"/>
  </r>
  <r>
    <x v="6"/>
    <s v="Social_MK~RIY_TG"/>
    <s v="Interests"/>
    <x v="0"/>
    <x v="0"/>
    <s v="Video"/>
    <x v="2"/>
    <n v="65.87"/>
    <n v="140618"/>
    <n v="87541"/>
    <n v="72"/>
    <n v="11794"/>
    <n v="11730"/>
    <n v="324"/>
    <n v="0.13472544"/>
    <n v="8.341748567039782E-2"/>
    <n v="8.341748567039782E-2"/>
    <n v="0.46843220640316319"/>
    <n v="5.1202548749093287E-4"/>
    <n v="8.224717560914314E-4"/>
    <s v="Bad"/>
  </r>
  <r>
    <x v="6"/>
    <s v="Social_MK~RIY_TG"/>
    <s v="CDP"/>
    <x v="1"/>
    <x v="0"/>
    <s v="Video"/>
    <x v="1"/>
    <n v="61.07"/>
    <n v="38905"/>
    <n v="4696"/>
    <n v="183"/>
    <n v="2316"/>
    <n v="2287"/>
    <n v="76"/>
    <n v="0.49318569000000001"/>
    <n v="5.8784217966842307E-2"/>
    <n v="5.8784217966842307E-2"/>
    <n v="1.5697211155378485"/>
    <n v="4.7037655828299704E-3"/>
    <n v="3.896933560477002E-2"/>
    <s v="Bad"/>
  </r>
  <r>
    <x v="6"/>
    <s v="Social_MK~RIY_TG"/>
    <s v="CDP"/>
    <x v="1"/>
    <x v="0"/>
    <s v="Video"/>
    <x v="0"/>
    <n v="59.89"/>
    <n v="39145"/>
    <n v="5396"/>
    <n v="179"/>
    <n v="3949"/>
    <n v="3917"/>
    <n v="65"/>
    <n v="0.7318384"/>
    <n v="0.10006386511687317"/>
    <n v="0.10006386511687317"/>
    <n v="1.5299527398135138"/>
    <n v="4.5727423681185334E-3"/>
    <n v="3.3172720533728689E-2"/>
    <s v="Bad"/>
  </r>
  <r>
    <x v="6"/>
    <s v="Social_MK~RIY_TG"/>
    <s v="CDP"/>
    <x v="1"/>
    <x v="0"/>
    <s v="Video"/>
    <x v="1"/>
    <n v="47.23"/>
    <n v="30836"/>
    <n v="5700"/>
    <n v="139"/>
    <n v="1603"/>
    <n v="1537"/>
    <n v="1420"/>
    <n v="0.28122807"/>
    <n v="4.9844337787002202E-2"/>
    <n v="4.9844337787002202E-2"/>
    <n v="1.5316513166428849"/>
    <n v="4.5077182513944738E-3"/>
    <n v="2.4385964912280698E-2"/>
    <s v="Bad"/>
  </r>
  <r>
    <x v="6"/>
    <s v="Social_MK~RIY_TG"/>
    <s v="Interests"/>
    <x v="0"/>
    <x v="0"/>
    <s v="Video"/>
    <x v="1"/>
    <n v="44.04"/>
    <n v="33311"/>
    <n v="18164"/>
    <n v="361"/>
    <n v="18201"/>
    <n v="17879"/>
    <n v="50"/>
    <n v="1.0020370000000001"/>
    <n v="0.53672960883792142"/>
    <n v="0.53672960883792142"/>
    <n v="1.3220857974843145"/>
    <n v="1.0837260964846447E-2"/>
    <n v="1.9874476987447699E-2"/>
    <s v="Bad"/>
  </r>
  <r>
    <x v="6"/>
    <s v="Social_MK~RIY_TG"/>
    <s v="CDP"/>
    <x v="1"/>
    <x v="0"/>
    <s v="Video"/>
    <x v="0"/>
    <n v="42.86"/>
    <n v="27121"/>
    <n v="5618"/>
    <n v="132"/>
    <n v="2710"/>
    <n v="2683"/>
    <n v="163"/>
    <n v="0.48237806999999999"/>
    <n v="9.8927030714206707E-2"/>
    <n v="9.8927030714206707E-2"/>
    <n v="1.5803252092474467"/>
    <n v="4.8670771726706244E-3"/>
    <n v="2.3495906016375939E-2"/>
    <s v="Bad"/>
  </r>
  <r>
    <x v="6"/>
    <s v="Social_MK~RIY_TG"/>
    <s v="CDP"/>
    <x v="1"/>
    <x v="0"/>
    <s v="Video"/>
    <x v="1"/>
    <n v="15.67"/>
    <n v="4147"/>
    <n v="1360"/>
    <n v="67"/>
    <n v="2764"/>
    <n v="2703"/>
    <n v="6"/>
    <n v="2.03235294"/>
    <n v="0.65179647938268626"/>
    <n v="0.65179647938268626"/>
    <n v="3.7786351579455029"/>
    <n v="1.6156257535567882E-2"/>
    <n v="4.926470588235294E-2"/>
    <s v="Good"/>
  </r>
  <r>
    <x v="6"/>
    <s v="Social_MK~RIY_TG"/>
    <s v="CDP"/>
    <x v="1"/>
    <x v="0"/>
    <s v="Video"/>
    <x v="2"/>
    <n v="15.49"/>
    <n v="8980"/>
    <n v="3302"/>
    <n v="5"/>
    <n v="449"/>
    <n v="445"/>
    <n v="3"/>
    <n v="0.13597819999999999"/>
    <n v="4.9554565701559021E-2"/>
    <n v="4.9554565701559021E-2"/>
    <n v="1.7249443207126949"/>
    <n v="5.5679287305122492E-4"/>
    <n v="1.5142337976983651E-3"/>
    <s v="Bad"/>
  </r>
  <r>
    <x v="6"/>
    <s v="Social_MK~RIY_TG"/>
    <s v="CDP"/>
    <x v="1"/>
    <x v="0"/>
    <s v="Video"/>
    <x v="2"/>
    <n v="10.69"/>
    <n v="6184"/>
    <n v="2331"/>
    <n v="3"/>
    <n v="426"/>
    <n v="424"/>
    <n v="8"/>
    <n v="0.18275417999999999"/>
    <n v="6.85640362225097E-2"/>
    <n v="6.85640362225097E-2"/>
    <n v="1.7286545924967656"/>
    <n v="4.8512289780077621E-4"/>
    <n v="1.287001287001287E-3"/>
    <s v="Bad"/>
  </r>
  <r>
    <x v="6"/>
    <s v="Social_MK~RIY_TG"/>
    <s v="CDP"/>
    <x v="1"/>
    <x v="0"/>
    <s v="Video"/>
    <x v="2"/>
    <n v="7.48"/>
    <n v="4494"/>
    <n v="2103"/>
    <n v="2"/>
    <n v="347"/>
    <n v="344"/>
    <n v="13"/>
    <n v="0.16500238"/>
    <n v="7.6546506453048516E-2"/>
    <n v="7.6546506453048516E-2"/>
    <n v="1.6644414775255898"/>
    <n v="4.450378282153983E-4"/>
    <n v="9.5102234902520212E-4"/>
    <s v="Bad"/>
  </r>
  <r>
    <x v="6"/>
    <s v="Social_MK~RIY_TG"/>
    <s v="Interests"/>
    <x v="0"/>
    <x v="0"/>
    <s v="Video"/>
    <x v="1"/>
    <n v="5.45"/>
    <n v="7944"/>
    <n v="4540"/>
    <n v="52"/>
    <n v="1167"/>
    <n v="1139"/>
    <n v="1007"/>
    <n v="0.25704845999999998"/>
    <n v="0.14337865055387713"/>
    <n v="0.14337865055387713"/>
    <n v="0.6860523665659618"/>
    <n v="6.545820745216516E-3"/>
    <n v="1.145374449339207E-2"/>
    <s v="Bad"/>
  </r>
  <r>
    <x v="6"/>
    <s v="Social_MK~RIY_TG"/>
    <s v="CDP"/>
    <x v="1"/>
    <x v="0"/>
    <s v="Video"/>
    <x v="1"/>
    <n v="1.02"/>
    <n v="598"/>
    <n v="333"/>
    <n v="3"/>
    <n v="91"/>
    <n v="90"/>
    <n v="75"/>
    <n v="0.27327327000000001"/>
    <n v="0.15050167224080269"/>
    <n v="0.15050167224080269"/>
    <n v="1.705685618729097"/>
    <n v="5.016722408026756E-3"/>
    <n v="9.0090090090090089E-3"/>
    <s v="Bad"/>
  </r>
  <r>
    <x v="6"/>
    <s v="Social_MK~RIY_TG"/>
    <s v="CDP"/>
    <x v="1"/>
    <x v="0"/>
    <s v="Video"/>
    <x v="2"/>
    <n v="0"/>
    <n v="1"/>
    <n v="1"/>
    <n v="0"/>
    <n v="0"/>
    <n v="0"/>
    <n v="0"/>
    <n v="0"/>
    <n v="0"/>
    <n v="0"/>
    <n v="0"/>
    <n v="0"/>
    <n v="0"/>
    <s v="Bad"/>
  </r>
  <r>
    <x v="6"/>
    <s v="Social_MK~RIY_TG"/>
    <s v="Interests"/>
    <x v="0"/>
    <x v="0"/>
    <s v="Video"/>
    <x v="2"/>
    <n v="0"/>
    <n v="1"/>
    <n v="1"/>
    <n v="0"/>
    <n v="0"/>
    <n v="0"/>
    <n v="0"/>
    <n v="0"/>
    <n v="0"/>
    <n v="0"/>
    <n v="0"/>
    <n v="0"/>
    <n v="0"/>
    <s v="Bad"/>
  </r>
  <r>
    <x v="6"/>
    <s v="Social_MK~RIY_TG"/>
    <s v="Interests"/>
    <x v="0"/>
    <x v="0"/>
    <s v="Video"/>
    <x v="2"/>
    <n v="0"/>
    <n v="2"/>
    <n v="2"/>
    <n v="0"/>
    <n v="0"/>
    <n v="0"/>
    <n v="0"/>
    <n v="0"/>
    <n v="0"/>
    <n v="0"/>
    <n v="0"/>
    <n v="0"/>
    <n v="0"/>
    <s v="Bad"/>
  </r>
  <r>
    <x v="6"/>
    <s v="Social_MK~RIY_TG"/>
    <s v="Interests"/>
    <x v="0"/>
    <x v="0"/>
    <s v="Video"/>
    <x v="2"/>
    <n v="0"/>
    <n v="3"/>
    <n v="3"/>
    <n v="0"/>
    <n v="0"/>
    <n v="0"/>
    <n v="0"/>
    <n v="0"/>
    <n v="0"/>
    <n v="0"/>
    <n v="0"/>
    <n v="0"/>
    <n v="0"/>
    <s v="Bad"/>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x v="0"/>
    <x v="0"/>
    <s v="Interests"/>
    <x v="0"/>
    <x v="0"/>
    <s v="Video"/>
    <s v="9x16"/>
    <n v="6640.06"/>
    <n v="5201668"/>
    <n v="3064506"/>
    <n v="11347"/>
    <n v="30892"/>
    <n v="499252"/>
    <n v="5692"/>
    <n v="5.8999999999999999E-3"/>
    <n v="9.5979212821733342E-2"/>
    <n v="1.0942643782725079E-3"/>
    <n v="1.28"/>
    <n v="2.2000000000000001E-3"/>
    <s v="Bad"/>
  </r>
  <r>
    <x v="0"/>
    <x v="0"/>
    <s v="Interests"/>
    <x v="0"/>
    <x v="0"/>
    <s v="Video"/>
    <s v="9x16"/>
    <n v="6242.05"/>
    <n v="4897606"/>
    <n v="2927170"/>
    <n v="10319"/>
    <n v="29129"/>
    <n v="670323"/>
    <n v="13332"/>
    <n v="5.8999999999999999E-3"/>
    <n v="0.13686748178599911"/>
    <n v="2.7221462894320204E-3"/>
    <n v="1.27"/>
    <n v="2.0999999999999999E-3"/>
    <s v="Bad"/>
  </r>
  <r>
    <x v="0"/>
    <x v="0"/>
    <s v="Interests"/>
    <x v="0"/>
    <x v="0"/>
    <s v="Video"/>
    <s v="9x16"/>
    <n v="6196.59"/>
    <n v="4899758"/>
    <n v="2903385"/>
    <n v="10100"/>
    <n v="28854"/>
    <n v="676057"/>
    <n v="8223"/>
    <n v="5.8999999999999999E-3"/>
    <n v="0.13797763073196675"/>
    <n v="1.6782461501159854E-3"/>
    <n v="1.26"/>
    <n v="2.0999999999999999E-3"/>
    <s v="Bad"/>
  </r>
  <r>
    <x v="0"/>
    <x v="0"/>
    <s v="Interests"/>
    <x v="0"/>
    <x v="0"/>
    <s v="Video"/>
    <s v="9x16"/>
    <n v="412.15"/>
    <n v="637825"/>
    <n v="539004"/>
    <n v="0"/>
    <n v="1879"/>
    <n v="80421"/>
    <n v="1387"/>
    <n v="2.8999999999999998E-3"/>
    <n v="0.12608630894054013"/>
    <n v="2.174577666287775E-3"/>
    <n v="0.65"/>
    <n v="0"/>
    <s v="Bad"/>
  </r>
  <r>
    <x v="0"/>
    <x v="0"/>
    <s v="Interests"/>
    <x v="0"/>
    <x v="0"/>
    <s v="Video"/>
    <s v="9x16"/>
    <n v="405.21"/>
    <n v="630921"/>
    <n v="534674"/>
    <n v="0"/>
    <n v="1891"/>
    <n v="51336"/>
    <n v="497"/>
    <n v="3.0000000000000001E-3"/>
    <n v="8.1366763826215965E-2"/>
    <n v="7.8773729199059788E-4"/>
    <n v="0.64"/>
    <n v="0"/>
    <s v="Bad"/>
  </r>
  <r>
    <x v="0"/>
    <x v="0"/>
    <s v="Interests"/>
    <x v="0"/>
    <x v="0"/>
    <s v="Video"/>
    <s v="9x16"/>
    <n v="385.44"/>
    <n v="605984"/>
    <n v="512892"/>
    <n v="0"/>
    <n v="1723"/>
    <n v="80282"/>
    <n v="761"/>
    <n v="2.8E-3"/>
    <n v="0.13248204573058034"/>
    <n v="1.255808734224006E-3"/>
    <n v="0.64"/>
    <n v="0"/>
    <s v="Bad"/>
  </r>
  <r>
    <x v="0"/>
    <x v="1"/>
    <s v="CDP"/>
    <x v="1"/>
    <x v="0"/>
    <s v="Video"/>
    <s v="9x16"/>
    <n v="90.85"/>
    <n v="13789"/>
    <n v="9481"/>
    <n v="50"/>
    <n v="151"/>
    <n v="2629"/>
    <n v="106"/>
    <n v="1.0999999999999999E-2"/>
    <n v="0.19065922111828268"/>
    <n v="7.6872869678729422E-3"/>
    <n v="6.59"/>
    <n v="3.5999999999999999E-3"/>
    <s v="Bad"/>
  </r>
  <r>
    <x v="0"/>
    <x v="1"/>
    <s v="CDP"/>
    <x v="1"/>
    <x v="0"/>
    <s v="Video"/>
    <s v="9x16"/>
    <n v="90.28"/>
    <n v="13636"/>
    <n v="9441"/>
    <n v="51"/>
    <n v="155"/>
    <n v="2166"/>
    <n v="48"/>
    <n v="1.14E-2"/>
    <n v="0.15884423584628923"/>
    <n v="3.5200938691698444E-3"/>
    <n v="6.62"/>
    <n v="3.7000000000000002E-3"/>
    <s v="Bad"/>
  </r>
  <r>
    <x v="0"/>
    <x v="1"/>
    <s v="CDP"/>
    <x v="1"/>
    <x v="0"/>
    <s v="Video"/>
    <s v="9x16"/>
    <n v="89.05"/>
    <n v="13850"/>
    <n v="9503"/>
    <n v="30"/>
    <n v="112"/>
    <n v="2583"/>
    <n v="57"/>
    <n v="8.1000000000000013E-3"/>
    <n v="0.18649819494584838"/>
    <n v="4.1155234657039713E-3"/>
    <n v="6.43"/>
    <n v="2.2000000000000001E-3"/>
    <s v="Bad"/>
  </r>
  <r>
    <x v="0"/>
    <x v="1"/>
    <s v="CDP"/>
    <x v="1"/>
    <x v="0"/>
    <s v="Video"/>
    <s v="9x16"/>
    <n v="12.82"/>
    <n v="5100"/>
    <n v="4145"/>
    <n v="0"/>
    <n v="34"/>
    <n v="1098"/>
    <n v="39"/>
    <n v="6.7000000000000002E-3"/>
    <n v="0.21529411764705883"/>
    <n v="7.6470588235294122E-3"/>
    <n v="2.5099999999999998"/>
    <n v="0"/>
    <s v="Bad"/>
  </r>
  <r>
    <x v="0"/>
    <x v="1"/>
    <s v="CDP"/>
    <x v="1"/>
    <x v="0"/>
    <s v="Video"/>
    <s v="9x16"/>
    <n v="12.5"/>
    <n v="5075"/>
    <n v="4059"/>
    <n v="0"/>
    <n v="33"/>
    <n v="855"/>
    <n v="18"/>
    <n v="6.5000000000000006E-3"/>
    <n v="0.16847290640394089"/>
    <n v="3.5467980295566504E-3"/>
    <n v="2.46"/>
    <n v="0"/>
    <s v="Bad"/>
  </r>
  <r>
    <x v="0"/>
    <x v="1"/>
    <s v="CDP"/>
    <x v="1"/>
    <x v="0"/>
    <s v="Video"/>
    <s v="9x16"/>
    <n v="11.28"/>
    <n v="4814"/>
    <n v="3857"/>
    <n v="0"/>
    <n v="25"/>
    <n v="1105"/>
    <n v="21"/>
    <n v="5.1999999999999998E-3"/>
    <n v="0.22953884503531366"/>
    <n v="4.3622766929788115E-3"/>
    <n v="2.34"/>
    <n v="0"/>
    <s v="Bad"/>
  </r>
  <r>
    <x v="1"/>
    <x v="2"/>
    <s v="Interests"/>
    <x v="0"/>
    <x v="0"/>
    <s v="Video"/>
    <s v="9x16"/>
    <n v="753.03"/>
    <n v="925679"/>
    <n v="604532"/>
    <n v="1594"/>
    <n v="4913"/>
    <n v="140422"/>
    <n v="3176"/>
    <n v="5.3E-3"/>
    <n v="0.1516962143464419"/>
    <n v="3.4309949777406638E-3"/>
    <n v="0.81"/>
    <n v="1.6999999999999999E-3"/>
    <s v="Bad"/>
  </r>
  <r>
    <x v="1"/>
    <x v="2"/>
    <s v="Interests"/>
    <x v="0"/>
    <x v="1"/>
    <s v="Video"/>
    <s v="9x16"/>
    <n v="729.56"/>
    <n v="906138"/>
    <n v="593301"/>
    <n v="1721"/>
    <n v="4803"/>
    <n v="114828"/>
    <n v="2174"/>
    <n v="5.3E-3"/>
    <n v="0.12672241976387702"/>
    <n v="2.3991930588938993E-3"/>
    <n v="0.81"/>
    <n v="1.9E-3"/>
    <s v="Bad"/>
  </r>
  <r>
    <x v="1"/>
    <x v="2"/>
    <s v="Interests"/>
    <x v="0"/>
    <x v="1"/>
    <s v="Video"/>
    <s v="9x16"/>
    <n v="729.44"/>
    <n v="903314"/>
    <n v="594177"/>
    <n v="1724"/>
    <n v="4815"/>
    <n v="123348"/>
    <n v="3143"/>
    <n v="5.3E-3"/>
    <n v="0.13655052395955339"/>
    <n v="3.4794102604409982E-3"/>
    <n v="0.81"/>
    <n v="1.9E-3"/>
    <s v="Bad"/>
  </r>
  <r>
    <x v="1"/>
    <x v="2"/>
    <s v="Interests"/>
    <x v="0"/>
    <x v="0"/>
    <s v="Video"/>
    <s v="9x16"/>
    <n v="723.32"/>
    <n v="899545"/>
    <n v="592808"/>
    <n v="1390"/>
    <n v="4470"/>
    <n v="117662"/>
    <n v="2194"/>
    <n v="5.0000000000000001E-3"/>
    <n v="0.13080168307310919"/>
    <n v="2.43901083325459E-3"/>
    <n v="0.8"/>
    <n v="1.5E-3"/>
    <s v="Bad"/>
  </r>
  <r>
    <x v="1"/>
    <x v="2"/>
    <s v="Interests"/>
    <x v="0"/>
    <x v="0"/>
    <s v="Video"/>
    <s v="9x16"/>
    <n v="59.42"/>
    <n v="136147"/>
    <n v="119639"/>
    <n v="0"/>
    <n v="281"/>
    <n v="19564"/>
    <n v="391"/>
    <n v="2.0999999999999999E-3"/>
    <n v="0.14369762095382196"/>
    <n v="2.8718958184903083E-3"/>
    <n v="0.44"/>
    <n v="0"/>
    <s v="Bad"/>
  </r>
  <r>
    <x v="1"/>
    <x v="2"/>
    <s v="Interests"/>
    <x v="0"/>
    <x v="1"/>
    <s v="Video"/>
    <s v="9x16"/>
    <n v="47.55"/>
    <n v="122626"/>
    <n v="109046"/>
    <n v="0"/>
    <n v="277"/>
    <n v="15268"/>
    <n v="327"/>
    <n v="2.3E-3"/>
    <n v="0.12450866863471043"/>
    <n v="2.6666449203268474E-3"/>
    <n v="0.39"/>
    <n v="0"/>
    <s v="Bad"/>
  </r>
  <r>
    <x v="1"/>
    <x v="2"/>
    <s v="Interests"/>
    <x v="0"/>
    <x v="1"/>
    <s v="Video"/>
    <s v="9x16"/>
    <n v="46.13"/>
    <n v="119740"/>
    <n v="107007"/>
    <n v="0"/>
    <n v="283"/>
    <n v="13823"/>
    <n v="228"/>
    <n v="2.3999999999999998E-3"/>
    <n v="0.11544179054618339"/>
    <n v="1.9041256054785369E-3"/>
    <n v="0.39"/>
    <n v="0"/>
    <s v="Bad"/>
  </r>
  <r>
    <x v="1"/>
    <x v="2"/>
    <s v="Interests"/>
    <x v="0"/>
    <x v="0"/>
    <s v="Video"/>
    <s v="9x16"/>
    <n v="42.06"/>
    <n v="115599"/>
    <n v="102452"/>
    <n v="0"/>
    <n v="263"/>
    <n v="13754"/>
    <n v="235"/>
    <n v="2.3E-3"/>
    <n v="0.11898026799539789"/>
    <n v="2.0328895578681475E-3"/>
    <n v="0.36"/>
    <n v="0"/>
    <s v="Bad"/>
  </r>
  <r>
    <x v="2"/>
    <x v="3"/>
    <s v="Interests"/>
    <x v="0"/>
    <x v="1"/>
    <s v="Video"/>
    <s v="9x16"/>
    <n v="273.51"/>
    <n v="658188"/>
    <n v="412773"/>
    <n v="0"/>
    <n v="2389"/>
    <n v="106158"/>
    <n v="2373"/>
    <n v="3.5999999999999999E-3"/>
    <n v="0.16128826414337544"/>
    <n v="3.6053528779011468E-3"/>
    <n v="0.42"/>
    <n v="0"/>
    <s v="Bad"/>
  </r>
  <r>
    <x v="2"/>
    <x v="3"/>
    <s v="Interests"/>
    <x v="0"/>
    <x v="0"/>
    <s v="Video"/>
    <s v="9x16"/>
    <n v="255.96"/>
    <n v="639027"/>
    <n v="403822"/>
    <n v="0"/>
    <n v="2513"/>
    <n v="132148"/>
    <n v="2514"/>
    <n v="3.8999999999999998E-3"/>
    <n v="0.20679564400252259"/>
    <n v="3.9341060706355128E-3"/>
    <n v="0.4"/>
    <n v="0"/>
    <s v="Bad"/>
  </r>
  <r>
    <x v="2"/>
    <x v="3"/>
    <s v="Interests"/>
    <x v="0"/>
    <x v="1"/>
    <s v="Video"/>
    <s v="9x16"/>
    <n v="255.51"/>
    <n v="639959"/>
    <n v="405289"/>
    <n v="0"/>
    <n v="2410"/>
    <n v="96482"/>
    <n v="1574"/>
    <n v="3.8E-3"/>
    <n v="0.15076278324080136"/>
    <n v="2.4595325638048686E-3"/>
    <n v="0.4"/>
    <n v="0"/>
    <s v="Bad"/>
  </r>
  <r>
    <x v="2"/>
    <x v="3"/>
    <s v="Interests"/>
    <x v="0"/>
    <x v="0"/>
    <s v="Video"/>
    <s v="9x16"/>
    <n v="246.34"/>
    <n v="630665"/>
    <n v="402112"/>
    <n v="0"/>
    <n v="2518"/>
    <n v="122502"/>
    <n v="1640"/>
    <n v="4.0000000000000001E-3"/>
    <n v="0.19424258520767762"/>
    <n v="2.6004297051524976E-3"/>
    <n v="0.39"/>
    <n v="0"/>
    <s v="Bad"/>
  </r>
  <r>
    <x v="3"/>
    <x v="4"/>
    <s v="Interests"/>
    <x v="0"/>
    <x v="1"/>
    <s v="Video"/>
    <s v="9x16"/>
    <n v="1026.6500000000001"/>
    <n v="1060287"/>
    <n v="748514"/>
    <n v="2035"/>
    <n v="3352"/>
    <n v="118626"/>
    <n v="2105"/>
    <n v="3.2000000000000002E-3"/>
    <n v="0.11188102843852656"/>
    <n v="1.9853115241439344E-3"/>
    <n v="0.97"/>
    <n v="1.9E-3"/>
    <s v="Bad"/>
  </r>
  <r>
    <x v="3"/>
    <x v="4"/>
    <s v="Interests"/>
    <x v="0"/>
    <x v="1"/>
    <s v="Video"/>
    <s v="9x16"/>
    <n v="1003.87"/>
    <n v="1047074"/>
    <n v="739197"/>
    <n v="2069"/>
    <n v="3315"/>
    <n v="123987"/>
    <n v="3244"/>
    <n v="3.2000000000000002E-3"/>
    <n v="0.1184128342409419"/>
    <n v="3.0981573413149405E-3"/>
    <n v="0.96"/>
    <n v="2E-3"/>
    <s v="Bad"/>
  </r>
  <r>
    <x v="3"/>
    <x v="4"/>
    <s v="Interests"/>
    <x v="0"/>
    <x v="0"/>
    <s v="Video"/>
    <s v="9x16"/>
    <n v="915.44"/>
    <n v="976618"/>
    <n v="698282"/>
    <n v="1446"/>
    <n v="2773"/>
    <n v="133648"/>
    <n v="3098"/>
    <n v="2.8E-3"/>
    <n v="0.13684777466727011"/>
    <n v="3.1721717191368578E-3"/>
    <n v="0.94"/>
    <n v="1.5E-3"/>
    <s v="Bad"/>
  </r>
  <r>
    <x v="3"/>
    <x v="4"/>
    <s v="Interests"/>
    <x v="0"/>
    <x v="0"/>
    <s v="Video"/>
    <s v="9x16"/>
    <n v="874.96"/>
    <n v="935995"/>
    <n v="668554"/>
    <n v="1375"/>
    <n v="2557"/>
    <n v="118711"/>
    <n v="1874"/>
    <n v="2.7000000000000001E-3"/>
    <n v="0.12682866895656494"/>
    <n v="2.0021474473688426E-3"/>
    <n v="0.93"/>
    <n v="1.5E-3"/>
    <s v="Bad"/>
  </r>
  <r>
    <x v="3"/>
    <x v="4"/>
    <s v="Interests"/>
    <x v="0"/>
    <x v="1"/>
    <s v="Video"/>
    <s v="9x16"/>
    <n v="328.29"/>
    <n v="520171"/>
    <n v="423244"/>
    <n v="0"/>
    <n v="658"/>
    <n v="62835"/>
    <n v="1520"/>
    <n v="1.2999999999999999E-3"/>
    <n v="0.12079681489356385"/>
    <n v="2.9221159964703913E-3"/>
    <n v="0.63"/>
    <n v="0"/>
    <s v="Bad"/>
  </r>
  <r>
    <x v="3"/>
    <x v="4"/>
    <s v="Interests"/>
    <x v="0"/>
    <x v="1"/>
    <s v="Video"/>
    <s v="9x16"/>
    <n v="269.68"/>
    <n v="457824"/>
    <n v="378376"/>
    <n v="0"/>
    <n v="514"/>
    <n v="51275"/>
    <n v="844"/>
    <n v="1.1000000000000001E-3"/>
    <n v="0.11199718669182918"/>
    <n v="1.8435031802614104E-3"/>
    <n v="0.59"/>
    <n v="0"/>
    <s v="Bad"/>
  </r>
  <r>
    <x v="3"/>
    <x v="4"/>
    <s v="Interests"/>
    <x v="0"/>
    <x v="0"/>
    <s v="Video"/>
    <s v="9x16"/>
    <n v="265.89"/>
    <n v="459632"/>
    <n v="375205"/>
    <n v="0"/>
    <n v="600"/>
    <n v="64249"/>
    <n v="1381"/>
    <n v="1.2999999999999999E-3"/>
    <n v="0.13978356598322136"/>
    <n v="3.0045775751035612E-3"/>
    <n v="0.57999999999999996"/>
    <n v="0"/>
    <s v="Bad"/>
  </r>
  <r>
    <x v="3"/>
    <x v="4"/>
    <s v="Interests"/>
    <x v="0"/>
    <x v="0"/>
    <s v="Video"/>
    <s v="9x16"/>
    <n v="217.72"/>
    <n v="409480"/>
    <n v="337792"/>
    <n v="0"/>
    <n v="482"/>
    <n v="53202"/>
    <n v="728"/>
    <n v="1.1999999999999999E-3"/>
    <n v="0.12992575949985347"/>
    <n v="1.7778646087721012E-3"/>
    <n v="0.53"/>
    <n v="0"/>
    <s v="Bad"/>
  </r>
  <r>
    <x v="3"/>
    <x v="4"/>
    <s v="CDP"/>
    <x v="1"/>
    <x v="0"/>
    <s v="Video"/>
    <s v="9x16"/>
    <n v="7.58"/>
    <n v="2542"/>
    <n v="1962"/>
    <n v="0"/>
    <n v="12"/>
    <n v="479"/>
    <n v="10"/>
    <n v="4.6999999999999993E-3"/>
    <n v="0.1884343036978757"/>
    <n v="3.9339103068450039E-3"/>
    <n v="2.98"/>
    <n v="0"/>
    <s v="Bad"/>
  </r>
  <r>
    <x v="3"/>
    <x v="4"/>
    <s v="CDP"/>
    <x v="1"/>
    <x v="0"/>
    <s v="Video"/>
    <s v="9x16"/>
    <n v="7.25"/>
    <n v="2560"/>
    <n v="1949"/>
    <n v="0"/>
    <n v="15"/>
    <n v="527"/>
    <n v="18"/>
    <n v="5.8999999999999999E-3"/>
    <n v="0.20585937500000001"/>
    <n v="7.0312500000000002E-3"/>
    <n v="2.83"/>
    <n v="0"/>
    <s v="Bad"/>
  </r>
  <r>
    <x v="3"/>
    <x v="4"/>
    <s v="CDP"/>
    <x v="1"/>
    <x v="1"/>
    <s v="Video"/>
    <s v="9x16"/>
    <n v="7.12"/>
    <n v="2305"/>
    <n v="1784"/>
    <n v="0"/>
    <n v="9"/>
    <n v="472"/>
    <n v="19"/>
    <n v="3.8999999999999998E-3"/>
    <n v="0.20477223427331886"/>
    <n v="8.2429501084598702E-3"/>
    <n v="3.09"/>
    <n v="0"/>
    <s v="Bad"/>
  </r>
  <r>
    <x v="3"/>
    <x v="4"/>
    <s v="CDP"/>
    <x v="1"/>
    <x v="1"/>
    <s v="Video"/>
    <s v="9x16"/>
    <n v="6.97"/>
    <n v="2258"/>
    <n v="1740"/>
    <n v="0"/>
    <n v="22"/>
    <n v="394"/>
    <n v="5"/>
    <n v="9.7000000000000003E-3"/>
    <n v="0.17449069973427811"/>
    <n v="2.2143489813994687E-3"/>
    <n v="3.09"/>
    <n v="0"/>
    <s v="Bad"/>
  </r>
  <r>
    <x v="3"/>
    <x v="4"/>
    <s v="CDP"/>
    <x v="1"/>
    <x v="1"/>
    <s v="Video"/>
    <s v="9x16"/>
    <n v="6.14"/>
    <n v="1538"/>
    <n v="1269"/>
    <n v="2"/>
    <n v="7"/>
    <n v="274"/>
    <n v="9"/>
    <n v="4.5999999999999999E-3"/>
    <n v="0.17815344603381014"/>
    <n v="5.8517555266579977E-3"/>
    <n v="3.99"/>
    <n v="1.2999999999999999E-3"/>
    <s v="Bad"/>
  </r>
  <r>
    <x v="3"/>
    <x v="4"/>
    <s v="CDP"/>
    <x v="1"/>
    <x v="0"/>
    <s v="Video"/>
    <s v="9x16"/>
    <n v="5.84"/>
    <n v="1514"/>
    <n v="1260"/>
    <n v="0"/>
    <n v="8"/>
    <n v="305"/>
    <n v="14"/>
    <n v="5.3E-3"/>
    <n v="0.20145310435931307"/>
    <n v="9.247027741083224E-3"/>
    <n v="3.86"/>
    <n v="0"/>
    <s v="Bad"/>
  </r>
  <r>
    <x v="3"/>
    <x v="4"/>
    <s v="CDP"/>
    <x v="1"/>
    <x v="1"/>
    <s v="Video"/>
    <s v="9x16"/>
    <n v="5.84"/>
    <n v="1488"/>
    <n v="1219"/>
    <n v="4"/>
    <n v="10"/>
    <n v="242"/>
    <n v="8"/>
    <n v="6.7000000000000002E-3"/>
    <n v="0.16263440860215053"/>
    <n v="5.3763440860215058E-3"/>
    <n v="3.92"/>
    <n v="2.7000000000000001E-3"/>
    <s v="Bad"/>
  </r>
  <r>
    <x v="3"/>
    <x v="4"/>
    <s v="CDP"/>
    <x v="1"/>
    <x v="0"/>
    <s v="Video"/>
    <s v="9x16"/>
    <n v="5.79"/>
    <n v="1503"/>
    <n v="1254"/>
    <n v="5"/>
    <n v="10"/>
    <n v="294"/>
    <n v="2"/>
    <n v="6.7000000000000002E-3"/>
    <n v="0.19560878243512975"/>
    <n v="1.3306719893546241E-3"/>
    <n v="3.85"/>
    <n v="3.3E-3"/>
    <s v="Bad"/>
  </r>
  <r>
    <x v="4"/>
    <x v="5"/>
    <s v="Interests"/>
    <x v="0"/>
    <x v="1"/>
    <s v="Video"/>
    <s v="9x16"/>
    <n v="2162.67"/>
    <n v="3316491"/>
    <n v="2272839"/>
    <n v="5464"/>
    <n v="8347"/>
    <n v="252741"/>
    <n v="4452"/>
    <n v="2.5000000000000001E-3"/>
    <n v="7.6207352891957195E-2"/>
    <n v="1.3423826568502674E-3"/>
    <n v="0.65"/>
    <n v="1.6000000000000001E-3"/>
    <s v="Bad"/>
  </r>
  <r>
    <x v="4"/>
    <x v="5"/>
    <s v="Interests"/>
    <x v="0"/>
    <x v="1"/>
    <s v="Video"/>
    <s v="9x16"/>
    <n v="1932.22"/>
    <n v="2936045"/>
    <n v="2041623"/>
    <n v="4737"/>
    <n v="7285"/>
    <n v="235267"/>
    <n v="5717"/>
    <n v="2.5000000000000001E-3"/>
    <n v="8.0130583829607513E-2"/>
    <n v="1.9471772401308564E-3"/>
    <n v="0.66"/>
    <n v="1.6000000000000001E-3"/>
    <s v="Bad"/>
  </r>
  <r>
    <x v="4"/>
    <x v="5"/>
    <s v="Interests"/>
    <x v="0"/>
    <x v="0"/>
    <s v="Video"/>
    <s v="9x16"/>
    <n v="1769.56"/>
    <n v="2754856"/>
    <n v="1932105"/>
    <n v="3737"/>
    <n v="5929"/>
    <n v="242664"/>
    <n v="3731"/>
    <n v="2.2000000000000001E-3"/>
    <n v="8.8085910842526802E-2"/>
    <n v="1.3543357620144211E-3"/>
    <n v="0.64"/>
    <n v="1.4E-3"/>
    <s v="Bad"/>
  </r>
  <r>
    <x v="4"/>
    <x v="5"/>
    <s v="Interests"/>
    <x v="0"/>
    <x v="0"/>
    <s v="Video"/>
    <s v="9x16"/>
    <n v="1735.9"/>
    <n v="2688164"/>
    <n v="1854071"/>
    <n v="3806"/>
    <n v="6122"/>
    <n v="249105"/>
    <n v="5521"/>
    <n v="2.3E-3"/>
    <n v="9.2667337260673083E-2"/>
    <n v="2.0538181450238898E-3"/>
    <n v="0.65"/>
    <n v="1.4E-3"/>
    <s v="Bad"/>
  </r>
  <r>
    <x v="4"/>
    <x v="5"/>
    <s v="Interests"/>
    <x v="0"/>
    <x v="0"/>
    <s v="Video"/>
    <s v="9x16"/>
    <n v="639.37"/>
    <n v="1054224"/>
    <n v="902641"/>
    <n v="0"/>
    <n v="1005"/>
    <n v="114444"/>
    <n v="2093"/>
    <s v="x`x`"/>
    <n v="0.10855757410189865"/>
    <n v="1.9853465677123648E-3"/>
    <n v="0.61"/>
    <n v="0"/>
    <s v="Bad"/>
  </r>
  <r>
    <x v="4"/>
    <x v="5"/>
    <s v="Interests"/>
    <x v="0"/>
    <x v="1"/>
    <s v="Video"/>
    <s v="9x16"/>
    <n v="566.09"/>
    <n v="966237"/>
    <n v="821458"/>
    <n v="0"/>
    <n v="858"/>
    <n v="84091"/>
    <n v="1645"/>
    <n v="8.9999999999999998E-4"/>
    <n v="8.7029372710835953E-2"/>
    <n v="1.7024808613207733E-3"/>
    <n v="0.59"/>
    <n v="0"/>
    <s v="Bad"/>
  </r>
  <r>
    <x v="4"/>
    <x v="5"/>
    <s v="Interests"/>
    <x v="0"/>
    <x v="0"/>
    <s v="Video"/>
    <s v="9x16"/>
    <n v="452.32"/>
    <n v="813410"/>
    <n v="695315"/>
    <n v="0"/>
    <n v="762"/>
    <n v="84852"/>
    <n v="1036"/>
    <n v="8.9999999999999998E-4"/>
    <n v="0.10431639640525688"/>
    <n v="1.2736504345901821E-3"/>
    <n v="0.56000000000000005"/>
    <n v="0"/>
    <s v="Bad"/>
  </r>
  <r>
    <x v="4"/>
    <x v="5"/>
    <s v="Interests"/>
    <x v="0"/>
    <x v="1"/>
    <s v="Video"/>
    <s v="9x16"/>
    <n v="413.87"/>
    <n v="777584"/>
    <n v="668221"/>
    <n v="0"/>
    <n v="710"/>
    <n v="63508"/>
    <n v="913"/>
    <n v="8.9999999999999998E-4"/>
    <n v="8.1673491224099268E-2"/>
    <n v="1.1741496738616021E-3"/>
    <n v="0.53"/>
    <n v="0"/>
    <s v="Bad"/>
  </r>
  <r>
    <x v="5"/>
    <x v="6"/>
    <s v="Interests"/>
    <x v="0"/>
    <x v="0"/>
    <s v="Video"/>
    <s v="9x16"/>
    <n v="237.91"/>
    <n v="458426"/>
    <n v="295305"/>
    <n v="899"/>
    <n v="2251"/>
    <n v="86823"/>
    <n v="1840"/>
    <n v="4.8999999999999998E-3"/>
    <n v="0.18939370803575714"/>
    <n v="4.0137339505176405E-3"/>
    <n v="0.52"/>
    <n v="2E-3"/>
    <s v="Bad"/>
  </r>
  <r>
    <x v="5"/>
    <x v="6"/>
    <s v="Interests"/>
    <x v="0"/>
    <x v="1"/>
    <s v="Video"/>
    <s v="9x16"/>
    <n v="236.25"/>
    <n v="450795"/>
    <n v="288758"/>
    <n v="956"/>
    <n v="2193"/>
    <n v="72364"/>
    <n v="1718"/>
    <n v="4.8999999999999998E-3"/>
    <n v="0.16052529420246453"/>
    <n v="3.8110449317317182E-3"/>
    <n v="0.52"/>
    <n v="2.0999999999999999E-3"/>
    <s v="Bad"/>
  </r>
  <r>
    <x v="5"/>
    <x v="6"/>
    <s v="Interests"/>
    <x v="0"/>
    <x v="1"/>
    <s v="Video"/>
    <s v="9x16"/>
    <n v="232.76"/>
    <n v="451843"/>
    <n v="291261"/>
    <n v="907"/>
    <n v="2162"/>
    <n v="68165"/>
    <n v="1072"/>
    <n v="4.7999999999999996E-3"/>
    <n v="0.15085992258372929"/>
    <n v="2.3725054941650088E-3"/>
    <n v="0.52"/>
    <n v="2E-3"/>
    <s v="Bad"/>
  </r>
  <r>
    <x v="5"/>
    <x v="6"/>
    <s v="Interests"/>
    <x v="0"/>
    <x v="0"/>
    <s v="Video"/>
    <s v="9x16"/>
    <n v="232.33"/>
    <n v="450308"/>
    <n v="291322"/>
    <n v="851"/>
    <n v="2168"/>
    <n v="79762"/>
    <n v="1141"/>
    <n v="4.7999999999999996E-3"/>
    <n v="0.17712765484956963"/>
    <n v="2.5338212956465354E-3"/>
    <n v="0.52"/>
    <n v="1.9E-3"/>
    <s v="Bad"/>
  </r>
  <r>
    <x v="5"/>
    <x v="6"/>
    <s v="Interests"/>
    <x v="0"/>
    <x v="0"/>
    <s v="Video"/>
    <s v="9x16"/>
    <n v="30.07"/>
    <n v="82290"/>
    <n v="71582"/>
    <n v="0"/>
    <n v="297"/>
    <n v="18070"/>
    <n v="350"/>
    <n v="3.5999999999999999E-3"/>
    <n v="0.21958925750394945"/>
    <n v="4.2532506987483292E-3"/>
    <n v="0.37"/>
    <n v="0"/>
    <s v="Bad"/>
  </r>
  <r>
    <x v="5"/>
    <x v="6"/>
    <s v="Interests"/>
    <x v="0"/>
    <x v="1"/>
    <s v="Video"/>
    <s v="9x16"/>
    <n v="21.86"/>
    <n v="71598"/>
    <n v="62420"/>
    <n v="0"/>
    <n v="215"/>
    <n v="13068"/>
    <n v="241"/>
    <n v="3.0000000000000001E-3"/>
    <n v="0.18251906477834576"/>
    <n v="3.3660158104974998E-3"/>
    <n v="0.31"/>
    <n v="0"/>
    <s v="Bad"/>
  </r>
  <r>
    <x v="5"/>
    <x v="6"/>
    <s v="Interests"/>
    <x v="0"/>
    <x v="0"/>
    <s v="Video"/>
    <s v="9x16"/>
    <n v="19.559999999999999"/>
    <n v="69350"/>
    <n v="60603"/>
    <n v="0"/>
    <n v="256"/>
    <n v="14302"/>
    <n v="154"/>
    <n v="3.7000000000000002E-3"/>
    <n v="0.20622927180966114"/>
    <n v="2.2206200432588318E-3"/>
    <n v="0.28000000000000003"/>
    <n v="0"/>
    <s v="Bad"/>
  </r>
  <r>
    <x v="5"/>
    <x v="6"/>
    <s v="Interests"/>
    <x v="0"/>
    <x v="1"/>
    <s v="Video"/>
    <s v="9x16"/>
    <n v="16.559999999999999"/>
    <n v="64252"/>
    <n v="56048"/>
    <n v="0"/>
    <n v="182"/>
    <n v="11033"/>
    <n v="121"/>
    <n v="2.8E-3"/>
    <n v="0.17171449915955925"/>
    <n v="1.8832098611716367E-3"/>
    <n v="0.26"/>
    <n v="0"/>
    <s v="Bad"/>
  </r>
  <r>
    <x v="6"/>
    <x v="7"/>
    <s v="Interests"/>
    <x v="0"/>
    <x v="1"/>
    <s v="Video"/>
    <s v="9x16"/>
    <n v="2552.96"/>
    <n v="2331205"/>
    <n v="1640434"/>
    <n v="3534"/>
    <n v="8539"/>
    <n v="212666"/>
    <n v="4535"/>
    <n v="3.7000000000000002E-3"/>
    <n v="9.1225782374351458E-2"/>
    <n v="1.9453458619040367E-3"/>
    <n v="1.1000000000000001"/>
    <n v="1.5E-3"/>
    <s v="Bad"/>
  </r>
  <r>
    <x v="6"/>
    <x v="7"/>
    <s v="Interests"/>
    <x v="0"/>
    <x v="1"/>
    <s v="Video"/>
    <s v="9x16"/>
    <n v="2494.69"/>
    <n v="2288879"/>
    <n v="1607282"/>
    <n v="3494"/>
    <n v="8319"/>
    <n v="221321"/>
    <n v="6055"/>
    <n v="3.5999999999999999E-3"/>
    <n v="9.6694058532582977E-2"/>
    <n v="2.6453997786689467E-3"/>
    <n v="1.0900000000000001"/>
    <n v="1.5E-3"/>
    <s v="Bad"/>
  </r>
  <r>
    <x v="6"/>
    <x v="7"/>
    <s v="Interests"/>
    <x v="0"/>
    <x v="0"/>
    <s v="Video"/>
    <s v="9x16"/>
    <n v="2461.48"/>
    <n v="2264381"/>
    <n v="1594418"/>
    <n v="2936"/>
    <n v="8219"/>
    <n v="251997"/>
    <n v="5863"/>
    <n v="3.5999999999999999E-3"/>
    <n v="0.11128736727609002"/>
    <n v="2.5892285794660882E-3"/>
    <n v="1.0900000000000001"/>
    <n v="1.2999999999999999E-3"/>
    <s v="Bad"/>
  </r>
  <r>
    <x v="6"/>
    <x v="7"/>
    <s v="Interests"/>
    <x v="0"/>
    <x v="0"/>
    <s v="Video"/>
    <s v="9x16"/>
    <n v="2332.7800000000002"/>
    <n v="2168009"/>
    <n v="1548287"/>
    <n v="2719"/>
    <n v="7464"/>
    <n v="212398"/>
    <n v="4253"/>
    <n v="3.3999999999999998E-3"/>
    <n v="9.7969150497068974E-2"/>
    <n v="1.9617077235380481E-3"/>
    <n v="1.08"/>
    <n v="1.2999999999999999E-3"/>
    <s v="Bad"/>
  </r>
  <r>
    <x v="6"/>
    <x v="7"/>
    <s v="Interests"/>
    <x v="0"/>
    <x v="0"/>
    <s v="Video"/>
    <s v="9x16"/>
    <n v="458.54"/>
    <n v="615975"/>
    <n v="543248"/>
    <n v="0"/>
    <n v="1099"/>
    <n v="66295"/>
    <n v="1350"/>
    <n v="1.8E-3"/>
    <n v="0.10762612118998335"/>
    <n v="2.1916473882868624E-3"/>
    <n v="0.74"/>
    <n v="0"/>
    <s v="Bad"/>
  </r>
  <r>
    <x v="6"/>
    <x v="7"/>
    <s v="Interests"/>
    <x v="0"/>
    <x v="1"/>
    <s v="Video"/>
    <s v="9x16"/>
    <n v="419.66"/>
    <n v="578351"/>
    <n v="511710"/>
    <n v="0"/>
    <n v="869"/>
    <n v="52042"/>
    <n v="1188"/>
    <n v="1.5E-3"/>
    <n v="8.9983418373963217E-2"/>
    <n v="2.0541159261417375E-3"/>
    <n v="0.73"/>
    <n v="0"/>
    <s v="Bad"/>
  </r>
  <r>
    <x v="6"/>
    <x v="7"/>
    <s v="Interests"/>
    <x v="0"/>
    <x v="0"/>
    <s v="Video"/>
    <s v="9x16"/>
    <n v="384.37"/>
    <n v="543093"/>
    <n v="486294"/>
    <n v="0"/>
    <n v="937"/>
    <n v="50004"/>
    <n v="849"/>
    <n v="1.6999999999999999E-3"/>
    <n v="9.2072628444851992E-2"/>
    <n v="1.5632681695400235E-3"/>
    <n v="0.71"/>
    <n v="0"/>
    <s v="Bad"/>
  </r>
  <r>
    <x v="6"/>
    <x v="7"/>
    <s v="Interests"/>
    <x v="0"/>
    <x v="1"/>
    <s v="Video"/>
    <s v="9x16"/>
    <n v="360.73"/>
    <n v="522000"/>
    <n v="467501"/>
    <n v="0"/>
    <n v="821"/>
    <n v="43072"/>
    <n v="814"/>
    <n v="1.6000000000000001E-3"/>
    <n v="8.2513409961685824E-2"/>
    <n v="1.5593869731800767E-3"/>
    <n v="0.69"/>
    <n v="0"/>
    <s v="Bad"/>
  </r>
  <r>
    <x v="6"/>
    <x v="7"/>
    <s v="CDP"/>
    <x v="1"/>
    <x v="0"/>
    <s v="Video"/>
    <s v="9x16"/>
    <n v="59.88"/>
    <n v="7626"/>
    <n v="6047"/>
    <n v="21"/>
    <n v="60"/>
    <n v="1650"/>
    <n v="42"/>
    <n v="7.9000000000000008E-3"/>
    <n v="0.21636506687647522"/>
    <n v="5.5074744295830055E-3"/>
    <n v="7.85"/>
    <n v="2.8E-3"/>
    <s v="Bad"/>
  </r>
  <r>
    <x v="6"/>
    <x v="7"/>
    <s v="CDP"/>
    <x v="1"/>
    <x v="1"/>
    <s v="Video"/>
    <s v="9x16"/>
    <n v="58.99"/>
    <n v="7694"/>
    <n v="6013"/>
    <n v="18"/>
    <n v="54"/>
    <n v="1483"/>
    <n v="58"/>
    <n v="6.9999999999999993E-3"/>
    <n v="0.19274759552898363"/>
    <n v="7.5383415648557321E-3"/>
    <n v="7.67"/>
    <n v="2.3E-3"/>
    <s v="Bad"/>
  </r>
  <r>
    <x v="6"/>
    <x v="7"/>
    <s v="CDP"/>
    <x v="1"/>
    <x v="1"/>
    <s v="Video"/>
    <s v="9x16"/>
    <n v="58.95"/>
    <n v="7686"/>
    <n v="6081"/>
    <n v="27"/>
    <n v="74"/>
    <n v="1521"/>
    <n v="37"/>
    <n v="9.5999999999999992E-3"/>
    <n v="0.19789227166276346"/>
    <n v="4.813947436898257E-3"/>
    <n v="7.67"/>
    <n v="3.5000000000000001E-3"/>
    <s v="Bad"/>
  </r>
  <r>
    <x v="6"/>
    <x v="7"/>
    <s v="CDP"/>
    <x v="1"/>
    <x v="0"/>
    <s v="Video"/>
    <s v="9x16"/>
    <n v="57.35"/>
    <n v="7501"/>
    <n v="5940"/>
    <n v="20"/>
    <n v="51"/>
    <n v="1528"/>
    <n v="29"/>
    <n v="6.7999999999999996E-3"/>
    <n v="0.20370617251033196"/>
    <n v="3.8661511798426876E-3"/>
    <n v="7.65"/>
    <n v="2.7000000000000001E-3"/>
    <s v="Bad"/>
  </r>
  <r>
    <x v="6"/>
    <x v="7"/>
    <s v="CDP"/>
    <x v="1"/>
    <x v="0"/>
    <s v="Video"/>
    <s v="9x16"/>
    <n v="23.11"/>
    <n v="5549"/>
    <n v="4565"/>
    <n v="0"/>
    <n v="39"/>
    <n v="1125"/>
    <n v="31"/>
    <n v="6.9999999999999993E-3"/>
    <n v="0.20273923229410704"/>
    <n v="5.5865921787709499E-3"/>
    <n v="4.16"/>
    <n v="0"/>
    <s v="Bad"/>
  </r>
  <r>
    <x v="6"/>
    <x v="7"/>
    <s v="CDP"/>
    <x v="1"/>
    <x v="0"/>
    <s v="Video"/>
    <s v="9x16"/>
    <n v="22.17"/>
    <n v="5600"/>
    <n v="4476"/>
    <n v="0"/>
    <n v="39"/>
    <n v="1202"/>
    <n v="29"/>
    <n v="6.9999999999999993E-3"/>
    <n v="0.21464285714285714"/>
    <n v="5.1785714285714282E-3"/>
    <n v="3.96"/>
    <n v="0"/>
    <s v="Bad"/>
  </r>
  <r>
    <x v="6"/>
    <x v="7"/>
    <s v="CDP"/>
    <x v="1"/>
    <x v="1"/>
    <s v="Video"/>
    <s v="9x16"/>
    <n v="21.35"/>
    <n v="4782"/>
    <n v="3915"/>
    <n v="0"/>
    <n v="34"/>
    <n v="937"/>
    <n v="30"/>
    <n v="7.1000000000000004E-3"/>
    <n v="0.19594312003345882"/>
    <n v="6.2735257214554582E-3"/>
    <n v="4.46"/>
    <n v="0"/>
    <s v="Bad"/>
  </r>
  <r>
    <x v="6"/>
    <x v="7"/>
    <s v="CDP"/>
    <x v="1"/>
    <x v="1"/>
    <s v="Video"/>
    <s v="9x16"/>
    <n v="21.12"/>
    <n v="4996"/>
    <n v="4099"/>
    <n v="0"/>
    <n v="28"/>
    <n v="1001"/>
    <n v="32"/>
    <n v="5.6000000000000008E-3"/>
    <n v="0.20036028823058447"/>
    <n v="6.4051240992794231E-3"/>
    <n v="4.2300000000000004"/>
    <n v="0"/>
    <s v="Bad"/>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s v="QT"/>
    <s v="Social_MK~QT_TG"/>
    <s v="Awareness"/>
    <s v="Interests"/>
    <x v="0"/>
    <s v="AR"/>
    <n v="30"/>
    <s v="Video"/>
    <s v="9x16"/>
    <n v="197.51"/>
    <n v="108534"/>
    <n v="95027"/>
    <n v="363"/>
    <s v="Low"/>
    <n v="3.8199669567596578E-3"/>
    <n v="5438"/>
    <n v="254"/>
    <n v="1.1420999999999999"/>
    <n v="5.0104114839589403E-2"/>
    <n v="2.3402804651077081E-3"/>
    <n v="1.82"/>
    <n v="3.344574050527945E-3"/>
    <s v="Bad"/>
  </r>
  <r>
    <s v="QT"/>
    <s v="Social_MK~QT_TG"/>
    <s v="Awareness"/>
    <s v="Interests"/>
    <x v="0"/>
    <s v="EN"/>
    <n v="30"/>
    <s v="Video"/>
    <s v="9x16"/>
    <n v="206.13"/>
    <n v="106530"/>
    <n v="94142"/>
    <n v="385"/>
    <s v="Low"/>
    <n v="4.089566824584139E-3"/>
    <n v="4955"/>
    <n v="253"/>
    <n v="1.1315999999999999"/>
    <n v="4.6512719421759129E-2"/>
    <n v="2.3749178635126254E-3"/>
    <n v="1.93"/>
    <n v="3.6140054444757344E-3"/>
    <s v="Bad"/>
  </r>
  <r>
    <s v="QT"/>
    <s v="Social_MK~QT_TG"/>
    <s v="Consideration"/>
    <s v="Interests"/>
    <x v="0"/>
    <s v="EN"/>
    <n v="45"/>
    <s v="Video"/>
    <s v="9x16"/>
    <n v="67.92"/>
    <n v="29807"/>
    <n v="13776"/>
    <n v="84"/>
    <s v="Low"/>
    <n v="6.0975609756097563E-3"/>
    <n v="7794"/>
    <n v="334"/>
    <n v="2.1637"/>
    <n v="0.26148220216727613"/>
    <n v="1.12054215452746E-2"/>
    <n v="2.2799999999999998"/>
    <n v="2.8181299694702588E-3"/>
    <s v="Bad"/>
  </r>
  <r>
    <s v="QT"/>
    <s v="Social_MK~QT_TG"/>
    <s v="Consideration"/>
    <s v="Interests"/>
    <x v="0"/>
    <s v="EN"/>
    <n v="30"/>
    <s v="Video"/>
    <s v="9x16"/>
    <n v="51.99"/>
    <n v="22399"/>
    <n v="12187"/>
    <n v="64"/>
    <s v="Low"/>
    <n v="5.251497497333224E-3"/>
    <n v="5802"/>
    <n v="357"/>
    <n v="1.8379000000000001"/>
    <n v="0.25902942095629267"/>
    <n v="1.5938211527300326E-2"/>
    <n v="2.3199999999999998"/>
    <n v="2.8572704138577613E-3"/>
    <s v="Bad"/>
  </r>
  <r>
    <s v="QT"/>
    <s v="Social_MK~QT_TG"/>
    <s v="Consideration"/>
    <s v="Interests"/>
    <x v="0"/>
    <s v="AR"/>
    <n v="45"/>
    <s v="Video"/>
    <s v="9x16"/>
    <n v="140.97999999999999"/>
    <n v="64602"/>
    <n v="24831"/>
    <n v="174"/>
    <s v="Low"/>
    <n v="7.007369819983086E-3"/>
    <n v="15882"/>
    <n v="666"/>
    <n v="2.6017000000000001"/>
    <n v="0.24584378192625617"/>
    <n v="1.0309278350515464E-2"/>
    <n v="2.1800000000000002"/>
    <n v="2.693415064549085E-3"/>
    <s v="Bad"/>
  </r>
  <r>
    <s v="QT"/>
    <s v="Social_MK~QT_TG"/>
    <s v="Awareness"/>
    <s v="Interests"/>
    <x v="0"/>
    <s v="AR"/>
    <n v="45"/>
    <s v="Video"/>
    <s v="9x16"/>
    <n v="229.49"/>
    <n v="124438"/>
    <n v="106581"/>
    <n v="454"/>
    <s v="Low"/>
    <n v="4.2596710483106745E-3"/>
    <n v="6075"/>
    <n v="182"/>
    <n v="1.1675"/>
    <n v="4.8819492438001252E-2"/>
    <n v="1.4625757405294204E-3"/>
    <n v="1.84"/>
    <n v="3.6484032208810814E-3"/>
    <s v="Bad"/>
  </r>
  <r>
    <s v="QT"/>
    <s v="Social_MK~QT_TG"/>
    <s v="Awareness"/>
    <s v="Interests"/>
    <x v="0"/>
    <s v="EN"/>
    <n v="45"/>
    <s v="Video"/>
    <s v="9x16"/>
    <n v="216.23"/>
    <n v="123775"/>
    <n v="105669"/>
    <n v="420"/>
    <s v="Low"/>
    <n v="3.9746756380773926E-3"/>
    <n v="5259"/>
    <n v="142"/>
    <n v="1.1713"/>
    <n v="4.2488386184609171E-2"/>
    <n v="1.147242981215916E-3"/>
    <n v="1.75"/>
    <n v="3.3932538881034134E-3"/>
    <s v="Bad"/>
  </r>
  <r>
    <s v="QT"/>
    <s v="Social_MK~QT_TG"/>
    <s v="Consideration"/>
    <s v="Interests"/>
    <x v="0"/>
    <s v="AR"/>
    <n v="30"/>
    <s v="Video"/>
    <s v="9x16"/>
    <n v="352.46"/>
    <n v="172400"/>
    <n v="49783"/>
    <n v="384"/>
    <s v="Low"/>
    <n v="7.7134764879577362E-3"/>
    <n v="39317"/>
    <n v="2648"/>
    <n v="3.4630000000000001"/>
    <n v="0.22805684454756381"/>
    <n v="1.5359628770301625E-2"/>
    <n v="2.04"/>
    <n v="2.2273781902552203E-3"/>
    <s v="Bad"/>
  </r>
  <r>
    <s v="JED"/>
    <s v="Social_MK~JED_TG"/>
    <s v="Consideration"/>
    <s v="CDP"/>
    <x v="1"/>
    <s v="AR"/>
    <n v="45"/>
    <s v="Video"/>
    <s v="9x16"/>
    <n v="422.52"/>
    <n v="202095"/>
    <n v="96300"/>
    <n v="1160"/>
    <s v="High"/>
    <n v="1.2045690550363447E-2"/>
    <n v="76291"/>
    <n v="1184"/>
    <n v="2.0985999999999998"/>
    <n v="0.37750068037309187"/>
    <n v="5.8586308419307752E-3"/>
    <n v="2.09"/>
    <n v="5.7398748113510973E-3"/>
    <s v="Bad"/>
  </r>
  <r>
    <s v="JED"/>
    <s v="Social_MK~JED_TG"/>
    <s v="Consideration"/>
    <s v="CDP"/>
    <x v="1"/>
    <s v="AR"/>
    <n v="30"/>
    <s v="Video"/>
    <s v="9x16"/>
    <n v="110.89"/>
    <n v="52865"/>
    <n v="30158"/>
    <n v="332"/>
    <s v="Low"/>
    <n v="1.1008687578751907E-2"/>
    <n v="19730"/>
    <n v="509"/>
    <n v="1.7528999999999999"/>
    <n v="0.37321479239572497"/>
    <n v="9.6282984961694879E-3"/>
    <n v="2.1"/>
    <n v="6.2801475456351081E-3"/>
    <s v="Bad"/>
  </r>
  <r>
    <s v="JED"/>
    <s v="Social_MK~JED_TG"/>
    <s v="Consideration"/>
    <s v="CDP"/>
    <x v="1"/>
    <s v="EN"/>
    <n v="30"/>
    <s v="Video"/>
    <s v="9x16"/>
    <n v="74.56"/>
    <n v="33156"/>
    <n v="18293"/>
    <n v="160"/>
    <s v="Low"/>
    <n v="8.7465150604056196E-3"/>
    <n v="11929"/>
    <n v="357"/>
    <n v="1.8125"/>
    <n v="0.3597840511521293"/>
    <n v="1.0767281939920376E-2"/>
    <n v="2.25"/>
    <n v="4.825672578115575E-3"/>
    <s v="Bad"/>
  </r>
  <r>
    <s v="JED"/>
    <s v="Social_MK~JED_TG"/>
    <s v="Awareness"/>
    <s v="CDP"/>
    <x v="1"/>
    <s v="AR"/>
    <n v="30"/>
    <s v="Video"/>
    <s v="9x16"/>
    <n v="133.5"/>
    <n v="119099"/>
    <n v="108611"/>
    <n v="460"/>
    <s v="Low"/>
    <n v="4.235298450433197E-3"/>
    <n v="6068"/>
    <n v="201"/>
    <n v="1.0966"/>
    <n v="5.0949210320825535E-2"/>
    <n v="1.6876716009370356E-3"/>
    <n v="1.1200000000000001"/>
    <n v="3.8623330170698329E-3"/>
    <s v="Bad"/>
  </r>
  <r>
    <s v="JED"/>
    <s v="Social_MK~JED_TG"/>
    <s v="Awareness"/>
    <s v="CDP"/>
    <x v="1"/>
    <s v="EN"/>
    <n v="45"/>
    <s v="Video"/>
    <s v="9x16"/>
    <n v="149.68"/>
    <n v="133533"/>
    <n v="119886"/>
    <n v="532"/>
    <s v="Low"/>
    <n v="4.437549004887977E-3"/>
    <n v="5792"/>
    <n v="114"/>
    <n v="1.1137999999999999"/>
    <n v="4.3375045868811454E-2"/>
    <n v="8.5372155197591603E-4"/>
    <n v="1.1200000000000001"/>
    <n v="3.9840339092209413E-3"/>
    <s v="Bad"/>
  </r>
  <r>
    <s v="JED"/>
    <s v="Social_MK~JED_TG"/>
    <s v="Consideration"/>
    <s v="Interests"/>
    <x v="0"/>
    <s v="EN"/>
    <n v="30"/>
    <s v="Video"/>
    <s v="9x16"/>
    <n v="167.73"/>
    <n v="82659"/>
    <n v="60513"/>
    <n v="491"/>
    <s v="Low"/>
    <n v="8.113958984019962E-3"/>
    <n v="20179"/>
    <n v="469"/>
    <n v="1.3660000000000001"/>
    <n v="0.24412344693257843"/>
    <n v="5.6739133064760035E-3"/>
    <n v="2.0299999999999998"/>
    <n v="5.9400670223448146E-3"/>
    <s v="Bad"/>
  </r>
  <r>
    <s v="JED"/>
    <s v="Social_MK~JED_TG"/>
    <s v="Awareness"/>
    <s v="Interests"/>
    <x v="0"/>
    <s v="AR"/>
    <n v="45"/>
    <s v="Video"/>
    <s v="9x16"/>
    <n v="772.94"/>
    <n v="781394"/>
    <n v="717605"/>
    <n v="2083"/>
    <s v="High"/>
    <n v="2.9027111015112769E-3"/>
    <n v="28146"/>
    <n v="554"/>
    <n v="1.0889"/>
    <n v="3.6020240749225101E-2"/>
    <n v="7.0898931908870558E-4"/>
    <n v="0.99"/>
    <n v="2.6657486492089777E-3"/>
    <s v="Bad"/>
  </r>
  <r>
    <s v="JED"/>
    <s v="Social_MK~JED_TG"/>
    <s v="Awareness"/>
    <s v="Interests"/>
    <x v="0"/>
    <s v="AR"/>
    <n v="30"/>
    <s v="Video"/>
    <s v="9x16"/>
    <n v="788.49"/>
    <n v="795075"/>
    <n v="758066"/>
    <n v="2269"/>
    <s v="High"/>
    <n v="2.9931430772518488E-3"/>
    <n v="28784"/>
    <n v="1002"/>
    <n v="1.0488"/>
    <n v="3.620287394270981E-2"/>
    <n v="1.2602584661824355E-3"/>
    <n v="0.99"/>
    <n v="2.8538188221236991E-3"/>
    <s v="Bad"/>
  </r>
  <r>
    <s v="JED"/>
    <s v="Social_MK~JED_TG"/>
    <s v="Consideration"/>
    <s v="Interests"/>
    <x v="0"/>
    <s v="AR"/>
    <n v="45"/>
    <s v="Video"/>
    <s v="9x16"/>
    <n v="369.19"/>
    <n v="195379"/>
    <n v="117891"/>
    <n v="846"/>
    <s v="Low"/>
    <n v="7.1761203145278268E-3"/>
    <n v="53681"/>
    <n v="953"/>
    <n v="1.6573"/>
    <n v="0.27475317203998384"/>
    <n v="4.8776992409624367E-3"/>
    <n v="1.89"/>
    <n v="4.3300457060380078E-3"/>
    <s v="Bad"/>
  </r>
  <r>
    <s v="JED"/>
    <s v="Social_MK~JED_TG"/>
    <s v="Awareness"/>
    <s v="CDP"/>
    <x v="1"/>
    <s v="EN"/>
    <n v="30"/>
    <s v="Video"/>
    <s v="9x16"/>
    <n v="132.74"/>
    <n v="118775"/>
    <n v="106901"/>
    <n v="437"/>
    <s v="Low"/>
    <n v="4.0878944069746778E-3"/>
    <n v="4876"/>
    <n v="152"/>
    <n v="1.1111"/>
    <n v="4.1052410018943379E-2"/>
    <n v="1.2797305830351505E-3"/>
    <n v="1.1200000000000001"/>
    <n v="3.6792254262260579E-3"/>
    <s v="Bad"/>
  </r>
  <r>
    <s v="JED"/>
    <s v="Social_MK~JED_TG"/>
    <s v="Awareness"/>
    <s v="Interests"/>
    <x v="0"/>
    <s v="EN"/>
    <n v="30"/>
    <s v="Video"/>
    <s v="9x16"/>
    <n v="709.33"/>
    <n v="721174"/>
    <n v="663383"/>
    <n v="2005"/>
    <s v="High"/>
    <n v="3.0223867660160121E-3"/>
    <n v="22306"/>
    <n v="791"/>
    <n v="1.0871"/>
    <n v="3.0930122272849549E-2"/>
    <n v="1.0968226807954807E-3"/>
    <n v="0.98"/>
    <n v="2.7801889696522615E-3"/>
    <s v="Bad"/>
  </r>
  <r>
    <s v="JED"/>
    <s v="Social_MK~JED_TG"/>
    <s v="Consideration"/>
    <s v="CDP"/>
    <x v="1"/>
    <s v="EN"/>
    <n v="45"/>
    <s v="Video"/>
    <s v="9x16"/>
    <n v="52.9"/>
    <n v="21897"/>
    <n v="12747"/>
    <n v="126"/>
    <s v="Low"/>
    <n v="9.8846787479406912E-3"/>
    <n v="9049"/>
    <n v="104"/>
    <n v="1.7178"/>
    <n v="0.41325295702607662"/>
    <n v="4.7495090651687444E-3"/>
    <n v="2.42"/>
    <n v="5.7542129058775178E-3"/>
    <s v="Bad"/>
  </r>
  <r>
    <s v="JED"/>
    <s v="Social_MK~JED_TG"/>
    <s v="Awareness"/>
    <s v="CDP"/>
    <x v="1"/>
    <s v="AR"/>
    <n v="45"/>
    <s v="Video"/>
    <s v="9x16"/>
    <n v="133.44"/>
    <n v="119321"/>
    <n v="104998"/>
    <n v="453"/>
    <s v="Low"/>
    <n v="4.3143678927217658E-3"/>
    <n v="5920"/>
    <n v="123"/>
    <n v="1.1364000000000001"/>
    <n v="4.961406625824457E-2"/>
    <n v="1.0308327955682571E-3"/>
    <n v="1.1200000000000001"/>
    <n v="3.796481759287971E-3"/>
    <s v="Bad"/>
  </r>
  <r>
    <s v="JED"/>
    <s v="Social_MK~JED_TG"/>
    <s v="Consideration"/>
    <s v="Interests"/>
    <x v="0"/>
    <s v="AR"/>
    <n v="30"/>
    <s v="Video"/>
    <s v="9x16"/>
    <n v="1365.04"/>
    <n v="797896"/>
    <n v="413254"/>
    <n v="2829"/>
    <s v="High"/>
    <n v="6.8456687654565957E-3"/>
    <n v="228554"/>
    <n v="7133"/>
    <n v="1.9308000000000001"/>
    <n v="0.28644585259231781"/>
    <n v="8.9397615729368239E-3"/>
    <n v="1.71"/>
    <n v="3.5455748618867622E-3"/>
    <s v="Bad"/>
  </r>
  <r>
    <s v="JED"/>
    <s v="Social_MK~JED_TG"/>
    <s v="Awareness"/>
    <s v="Interests"/>
    <x v="0"/>
    <s v="EN"/>
    <n v="45"/>
    <s v="Video"/>
    <s v="9x16"/>
    <n v="788.9"/>
    <n v="796622"/>
    <n v="731982"/>
    <n v="2207"/>
    <s v="High"/>
    <n v="3.0151014642436562E-3"/>
    <n v="25013"/>
    <n v="495"/>
    <n v="1.0883"/>
    <n v="3.1398831566288657E-2"/>
    <n v="6.2137375066217103E-4"/>
    <n v="0.99"/>
    <n v="2.7704482175988109E-3"/>
    <s v="Bad"/>
  </r>
  <r>
    <s v="JED"/>
    <s v="Social_MK~JED_TG"/>
    <s v="Consideration"/>
    <s v="Interests"/>
    <x v="0"/>
    <s v="EN"/>
    <n v="45"/>
    <s v="Video"/>
    <s v="9x16"/>
    <n v="181.9"/>
    <n v="106946"/>
    <n v="59957"/>
    <n v="436"/>
    <s v="Low"/>
    <n v="7.2718781793618759E-3"/>
    <n v="30826"/>
    <n v="592"/>
    <n v="1.7837000000000001"/>
    <n v="0.28823892431694498"/>
    <n v="5.5355038991640642E-3"/>
    <n v="1.7"/>
    <n v="4.0768238176275874E-3"/>
    <s v="Bad"/>
  </r>
  <r>
    <s v="KW"/>
    <s v="Social_MK~KW_TG"/>
    <s v="Awareness"/>
    <s v="Interests"/>
    <x v="0"/>
    <s v="AR"/>
    <n v="45"/>
    <s v="Video"/>
    <s v="9x16"/>
    <n v="574.09"/>
    <n v="379163"/>
    <n v="340284"/>
    <n v="1692"/>
    <s v="High"/>
    <n v="4.9723172408929015E-3"/>
    <n v="17485"/>
    <n v="391"/>
    <n v="1.1143000000000001"/>
    <n v="4.6114731658943517E-2"/>
    <n v="1.0312187634341958E-3"/>
    <n v="1.51"/>
    <n v="4.4624607358840392E-3"/>
    <s v="Bad"/>
  </r>
  <r>
    <s v="KW"/>
    <s v="Social_MK~KW_TG"/>
    <s v="Consideration"/>
    <s v="Interests"/>
    <x v="0"/>
    <s v="AR"/>
    <n v="45"/>
    <s v="Video"/>
    <s v="9x16"/>
    <n v="780.32"/>
    <n v="406210"/>
    <n v="139795"/>
    <n v="1462"/>
    <s v="High"/>
    <n v="1.0458170893093458E-2"/>
    <n v="89822"/>
    <n v="3592"/>
    <n v="2.9058000000000002"/>
    <n v="0.221122079712464"/>
    <n v="8.8427168213485643E-3"/>
    <n v="1.92"/>
    <n v="3.5991236060165925E-3"/>
    <s v="Bad"/>
  </r>
  <r>
    <s v="KW"/>
    <s v="Social_MK~KW_TG"/>
    <s v="Awareness"/>
    <s v="Interests"/>
    <x v="0"/>
    <s v="EN"/>
    <n v="30"/>
    <s v="Video"/>
    <s v="9x16"/>
    <n v="629.26"/>
    <n v="408399"/>
    <n v="363534"/>
    <n v="1820"/>
    <s v="High"/>
    <n v="5.0064093042191376E-3"/>
    <n v="17642"/>
    <n v="660"/>
    <n v="1.1234"/>
    <n v="4.3197951023386444E-2"/>
    <n v="1.6160666407116569E-3"/>
    <n v="1.54"/>
    <n v="4.4564261910533575E-3"/>
    <s v="Bad"/>
  </r>
  <r>
    <s v="KW"/>
    <s v="Social_MK~KW_TG"/>
    <s v="Consideration"/>
    <s v="Interests"/>
    <x v="0"/>
    <s v="AR"/>
    <n v="30"/>
    <s v="Video"/>
    <s v="9x16"/>
    <n v="144.6"/>
    <n v="67198"/>
    <n v="36242"/>
    <n v="219"/>
    <s v="Low"/>
    <n v="6.0427128745654214E-3"/>
    <n v="17386"/>
    <n v="976"/>
    <n v="1.8541000000000001"/>
    <n v="0.25872793833149799"/>
    <n v="1.4524241792910503E-2"/>
    <n v="2.15"/>
    <n v="3.2590255662370902E-3"/>
    <s v="Bad"/>
  </r>
  <r>
    <s v="KW"/>
    <s v="Social_MK~KW_TG"/>
    <s v="Awareness"/>
    <s v="Interests"/>
    <x v="0"/>
    <s v="EN"/>
    <n v="45"/>
    <s v="Video"/>
    <s v="9x16"/>
    <n v="477.23"/>
    <n v="316220"/>
    <n v="288595"/>
    <n v="1360"/>
    <s v="High"/>
    <n v="4.7124863563124796E-3"/>
    <n v="12955"/>
    <n v="237"/>
    <n v="1.0956999999999999"/>
    <n v="4.0968313199671112E-2"/>
    <n v="7.4947821137182969E-4"/>
    <n v="1.51"/>
    <n v="4.3008032382518503E-3"/>
    <s v="Bad"/>
  </r>
  <r>
    <s v="KW"/>
    <s v="Social_MK~KW_TG"/>
    <s v="Awareness"/>
    <s v="Interests"/>
    <x v="0"/>
    <s v="AR"/>
    <n v="30"/>
    <s v="Video"/>
    <s v="9x16"/>
    <n v="583.54"/>
    <n v="379261"/>
    <n v="335734"/>
    <n v="1767"/>
    <s v="High"/>
    <n v="5.2630951884527636E-3"/>
    <n v="17892"/>
    <n v="707"/>
    <n v="1.1295999999999999"/>
    <n v="4.717595534473621E-2"/>
    <n v="1.8641516000854294E-3"/>
    <n v="1.54"/>
    <n v="4.6590606468896092E-3"/>
    <s v="Bad"/>
  </r>
  <r>
    <s v="KW"/>
    <s v="Social_MK~KW_TG"/>
    <s v="Awareness"/>
    <s v="Interests"/>
    <x v="0"/>
    <s v="AR"/>
    <n v="30"/>
    <s v="Video"/>
    <s v="9x16"/>
    <n v="3.22"/>
    <n v="6742"/>
    <n v="6681"/>
    <n v="0"/>
    <s v="Low"/>
    <n v="0"/>
    <n v="109"/>
    <n v="9"/>
    <n v="1.0091000000000001"/>
    <n v="1.6167309403737763E-2"/>
    <n v="1.3349154553544942E-3"/>
    <n v="0.48"/>
    <n v="0"/>
    <s v="Bad"/>
  </r>
  <r>
    <s v="KW"/>
    <s v="Social_MK~KW_TG"/>
    <s v="Consideration"/>
    <s v="Interests"/>
    <x v="0"/>
    <s v="EN"/>
    <n v="30"/>
    <s v="Video"/>
    <s v="9x16"/>
    <n v="252.25"/>
    <n v="121854"/>
    <n v="54536"/>
    <n v="443"/>
    <s v="Low"/>
    <n v="8.1230746662754871E-3"/>
    <n v="30086"/>
    <n v="1616"/>
    <n v="2.2343999999999999"/>
    <n v="0.24690203029855401"/>
    <n v="1.3261772284865496E-2"/>
    <n v="2.0699999999999998"/>
    <n v="3.6354982191803306E-3"/>
    <s v="Bad"/>
  </r>
  <r>
    <s v="KW"/>
    <s v="Social_MK~KW_TG"/>
    <s v="Consideration"/>
    <s v="Interests"/>
    <x v="0"/>
    <s v="EN"/>
    <n v="45"/>
    <s v="Video"/>
    <s v="9x16"/>
    <n v="295.93"/>
    <n v="151566"/>
    <n v="72115"/>
    <n v="507"/>
    <s v="Low"/>
    <n v="7.0304374956666436E-3"/>
    <n v="35408"/>
    <n v="1302"/>
    <n v="2.1017000000000001"/>
    <n v="0.23361439900769301"/>
    <n v="8.5903170895847356E-3"/>
    <n v="1.95"/>
    <n v="3.3450773920272354E-3"/>
    <s v="Bad"/>
  </r>
  <r>
    <s v="RIY"/>
    <s v="Social_MK~RIY_TG"/>
    <s v="Awareness"/>
    <s v="CDP"/>
    <x v="1"/>
    <s v="AR"/>
    <n v="30"/>
    <s v="Video"/>
    <s v="9x16"/>
    <n v="254.03"/>
    <n v="227289"/>
    <n v="212576"/>
    <n v="703"/>
    <s v="Low"/>
    <n v="3.3070525365045912E-3"/>
    <n v="8387"/>
    <n v="333"/>
    <n v="1.0691999999999999"/>
    <n v="3.6900157948690872E-2"/>
    <n v="1.4650950991908979E-3"/>
    <n v="1.1200000000000001"/>
    <n v="3.0929785427363399E-3"/>
    <s v="Bad"/>
  </r>
  <r>
    <s v="RIY"/>
    <s v="Social_MK~RIY_TG"/>
    <s v="Consideration"/>
    <s v="CDP"/>
    <x v="1"/>
    <s v="AR"/>
    <n v="30"/>
    <s v="Video"/>
    <s v="9x16"/>
    <n v="184.27"/>
    <n v="97212"/>
    <n v="46969"/>
    <n v="256"/>
    <s v="Low"/>
    <n v="5.4504034575996937E-3"/>
    <n v="29205"/>
    <n v="1241"/>
    <n v="2.0697000000000001"/>
    <n v="0.30042587334896925"/>
    <n v="1.2765913673209069E-2"/>
    <n v="1.9"/>
    <n v="2.6334197424186315E-3"/>
    <s v="Bad"/>
  </r>
  <r>
    <s v="RIY"/>
    <s v="Social_MK~RIY_TG"/>
    <s v="Awareness"/>
    <s v="Interests"/>
    <x v="0"/>
    <s v="AR"/>
    <n v="30"/>
    <s v="Video"/>
    <s v="9x16"/>
    <n v="2892.86"/>
    <n v="2607632"/>
    <n v="2161313"/>
    <n v="7275"/>
    <s v="High"/>
    <n v="3.3660094581395659E-3"/>
    <n v="96804"/>
    <n v="3470"/>
    <n v="1.2064999999999999"/>
    <n v="3.7123336421703679E-2"/>
    <n v="1.3307092411812709E-3"/>
    <n v="1.1100000000000001"/>
    <n v="2.7898875301422899E-3"/>
    <s v="Bad"/>
  </r>
  <r>
    <s v="RIY"/>
    <s v="Social_MK~RIY_TG"/>
    <s v="Consideration"/>
    <s v="CDP"/>
    <x v="1"/>
    <s v="AR"/>
    <n v="45"/>
    <s v="Video"/>
    <s v="9x16"/>
    <n v="72.2"/>
    <n v="31561"/>
    <n v="16469"/>
    <n v="188"/>
    <s v="Low"/>
    <n v="1.1415386483696641E-2"/>
    <n v="11761"/>
    <n v="189"/>
    <n v="1.9164000000000001"/>
    <n v="0.37264345236209245"/>
    <n v="5.9884034092709355E-3"/>
    <n v="2.29"/>
    <n v="5.9567187351478087E-3"/>
    <s v="Bad"/>
  </r>
  <r>
    <s v="RIY"/>
    <s v="Social_MK~RIY_TG"/>
    <s v="Awareness"/>
    <s v="CDP"/>
    <x v="1"/>
    <s v="AR"/>
    <n v="45"/>
    <s v="Video"/>
    <s v="9x16"/>
    <n v="288.45"/>
    <n v="256417"/>
    <n v="225115"/>
    <n v="873"/>
    <s v="Low"/>
    <n v="3.8780179019612198E-3"/>
    <n v="10872"/>
    <n v="211"/>
    <n v="1.139"/>
    <n v="4.2399684888287437E-2"/>
    <n v="8.2287835829917676E-4"/>
    <n v="1.1200000000000001"/>
    <n v="3.404610458744935E-3"/>
    <s v="Bad"/>
  </r>
  <r>
    <s v="RIY"/>
    <s v="Social_MK~RIY_TG"/>
    <s v="Consideration"/>
    <s v="CDP"/>
    <x v="1"/>
    <s v="AR"/>
    <n v="30"/>
    <s v="Video"/>
    <s v="9x16"/>
    <n v="205.76"/>
    <n v="89255"/>
    <n v="36816"/>
    <n v="505"/>
    <s v="Low"/>
    <n v="1.3716862233811387E-2"/>
    <n v="32894"/>
    <n v="1058"/>
    <n v="2.4243999999999999"/>
    <n v="0.36853957761469947"/>
    <n v="1.18536776651168E-2"/>
    <n v="2.31"/>
    <n v="5.6579463335387371E-3"/>
    <s v="Bad"/>
  </r>
  <r>
    <s v="RIY"/>
    <s v="Social_MK~RIY_TG"/>
    <s v="Consideration"/>
    <s v="CDP"/>
    <x v="1"/>
    <s v="AR"/>
    <n v="45"/>
    <s v="Video"/>
    <s v="9x16"/>
    <n v="93.69"/>
    <n v="47012"/>
    <n v="27076"/>
    <n v="217"/>
    <s v="Low"/>
    <n v="8.0144777662874873E-3"/>
    <n v="13381"/>
    <n v="338"/>
    <n v="1.7363"/>
    <n v="0.28462945630902747"/>
    <n v="7.1896537054369101E-3"/>
    <n v="1.99"/>
    <n v="4.6158427635497323E-3"/>
    <s v="Bad"/>
  </r>
  <r>
    <s v="RIY"/>
    <s v="Social_MK~RIY_TG"/>
    <s v="Awareness"/>
    <s v="Interests"/>
    <x v="0"/>
    <s v="AR"/>
    <n v="45"/>
    <s v="Video"/>
    <s v="9x16"/>
    <n v="2910.22"/>
    <n v="2618714"/>
    <n v="2119755"/>
    <n v="7449"/>
    <s v="High"/>
    <n v="3.5140853542036696E-3"/>
    <n v="97157"/>
    <n v="1902"/>
    <n v="1.2354000000000001"/>
    <n v="3.7101035088215058E-2"/>
    <n v="7.2631070059578861E-4"/>
    <n v="1.1100000000000001"/>
    <n v="2.8445259772544845E-3"/>
    <s v="Bad"/>
  </r>
  <r>
    <s v="RIY"/>
    <s v="Social_MK~RIY_TG"/>
    <s v="Awareness"/>
    <s v="CDP"/>
    <x v="1"/>
    <s v="AR"/>
    <n v="45"/>
    <s v="Video"/>
    <s v="9x16"/>
    <n v="279.56"/>
    <n v="249255"/>
    <n v="222573"/>
    <n v="745"/>
    <s v="Low"/>
    <n v="3.3472164188827935E-3"/>
    <n v="9169"/>
    <n v="233"/>
    <n v="1.1198999999999999"/>
    <n v="3.6785621151030068E-2"/>
    <n v="9.347856612705864E-4"/>
    <n v="1.1200000000000001"/>
    <n v="2.988906942689214E-3"/>
    <s v="Bad"/>
  </r>
  <r>
    <s v="RIY"/>
    <s v="Social_MK~RIY_TG"/>
    <s v="Consideration"/>
    <s v="Interests"/>
    <x v="0"/>
    <s v="AR"/>
    <n v="45"/>
    <s v="Video"/>
    <s v="9x16"/>
    <n v="850.44"/>
    <n v="414857"/>
    <n v="161331"/>
    <n v="1666"/>
    <s v="High"/>
    <n v="1.0326595632581464E-2"/>
    <n v="134928"/>
    <n v="3003"/>
    <n v="2.5714999999999999"/>
    <n v="0.3252397814186575"/>
    <n v="7.238638856280598E-3"/>
    <n v="2.0499999999999998"/>
    <n v="4.0158416032512407E-3"/>
    <s v="Bad"/>
  </r>
  <r>
    <s v="RIY"/>
    <s v="Social_MK~RIY_TG"/>
    <s v="Consideration"/>
    <s v="Interests"/>
    <x v="0"/>
    <s v="AR"/>
    <n v="30"/>
    <s v="Video"/>
    <s v="9x16"/>
    <n v="2657.12"/>
    <n v="1363372"/>
    <n v="572900"/>
    <n v="4656"/>
    <s v="High"/>
    <n v="8.1270727875720015E-3"/>
    <n v="402299"/>
    <n v="13870"/>
    <n v="2.3797999999999999"/>
    <n v="0.29507647215873584"/>
    <n v="1.0173305598178634E-2"/>
    <n v="1.95"/>
    <n v="3.4150620666993309E-3"/>
    <s v="Bad"/>
  </r>
  <r>
    <s v="RIY"/>
    <s v="Social_MK~RIY_TG"/>
    <s v="Awareness"/>
    <s v="CDP"/>
    <x v="1"/>
    <s v="AR"/>
    <n v="30"/>
    <s v="Video"/>
    <s v="9x16"/>
    <n v="265.06"/>
    <n v="236171"/>
    <n v="209081"/>
    <n v="818"/>
    <s v="Low"/>
    <n v="3.9123593248549604E-3"/>
    <n v="10162"/>
    <n v="403"/>
    <n v="1.1295999999999999"/>
    <n v="4.3028144861138748E-2"/>
    <n v="1.7063907084273683E-3"/>
    <n v="1.1200000000000001"/>
    <n v="3.4635920582967426E-3"/>
    <s v="Bad"/>
  </r>
  <r>
    <s v="UAE"/>
    <s v="Snapchat_MK~UAE_TG"/>
    <s v="Awareness"/>
    <s v="Interests"/>
    <x v="0"/>
    <s v="EN"/>
    <n v="45"/>
    <s v="Video"/>
    <s v="9x16"/>
    <n v="76.81"/>
    <n v="80972"/>
    <n v="79988"/>
    <n v="179"/>
    <s v="Low"/>
    <n v="2.2378356753513027E-3"/>
    <n v="1779"/>
    <n v="31"/>
    <n v="1.0123"/>
    <n v="2.1970557723657559E-2"/>
    <n v="3.8284839203675346E-4"/>
    <n v="0.95"/>
    <n v="2.2106407153089959E-3"/>
    <s v="Bad"/>
  </r>
  <r>
    <s v="UAE"/>
    <s v="Snapchat_MK~UAE_TG"/>
    <s v="Consideration"/>
    <s v="Interests"/>
    <x v="0"/>
    <s v="EN"/>
    <n v="30"/>
    <s v="Video"/>
    <s v="9x16"/>
    <n v="21.55"/>
    <n v="11571"/>
    <n v="8544"/>
    <n v="29"/>
    <s v="Low"/>
    <n v="3.3941947565543072E-3"/>
    <n v="2125"/>
    <n v="66"/>
    <n v="1.3543000000000001"/>
    <n v="0.18364877711520181"/>
    <n v="5.7039149598133261E-3"/>
    <n v="1.86"/>
    <n v="2.5062656641604009E-3"/>
    <s v="Bad"/>
  </r>
  <r>
    <s v="UAE"/>
    <s v="Snapchat_MK~UAE_TG"/>
    <s v="Awareness"/>
    <s v="Interests"/>
    <x v="0"/>
    <s v="EN"/>
    <n v="30"/>
    <s v="Video"/>
    <s v="9x16"/>
    <n v="73.180000000000007"/>
    <n v="77585"/>
    <n v="74948"/>
    <n v="178"/>
    <s v="Low"/>
    <n v="2.3749799861237124E-3"/>
    <n v="1704"/>
    <n v="66"/>
    <n v="1.0351999999999999"/>
    <n v="2.1963008313462654E-2"/>
    <n v="8.5067989946510279E-4"/>
    <n v="0.94"/>
    <n v="2.2942579106786107E-3"/>
    <s v="Bad"/>
  </r>
  <r>
    <s v="UAE"/>
    <s v="Snapchat_MK~UAE_TG"/>
    <s v="Awareness"/>
    <s v="Interests"/>
    <x v="0"/>
    <s v="AR"/>
    <n v="30"/>
    <s v="Video"/>
    <s v="9x16"/>
    <n v="75.13"/>
    <n v="79539"/>
    <n v="73748"/>
    <n v="181"/>
    <s v="Low"/>
    <n v="2.4543038455280145E-3"/>
    <n v="1963"/>
    <n v="64"/>
    <n v="1.0785"/>
    <n v="2.4679716868454469E-2"/>
    <n v="8.0463671909377786E-4"/>
    <n v="0.94"/>
    <n v="2.2756132211870905E-3"/>
    <s v="Bad"/>
  </r>
  <r>
    <s v="UAE"/>
    <s v="Snapchat_MK~UAE_TG"/>
    <s v="Consideration"/>
    <s v="Interests"/>
    <x v="0"/>
    <s v="AR"/>
    <n v="30"/>
    <s v="Video"/>
    <s v="9x16"/>
    <n v="36.24"/>
    <n v="18246"/>
    <n v="12121"/>
    <n v="66"/>
    <s v="Low"/>
    <n v="5.4450952891675602E-3"/>
    <n v="3617"/>
    <n v="96"/>
    <n v="1.5053000000000001"/>
    <n v="0.19823522963937301"/>
    <n v="5.2614271621177246E-3"/>
    <n v="1.99"/>
    <n v="3.6172311739559354E-3"/>
    <s v="Bad"/>
  </r>
  <r>
    <s v="UAE"/>
    <s v="Snapchat_MK~UAE_TG"/>
    <s v="Consideration"/>
    <s v="Interests"/>
    <x v="0"/>
    <s v="AR"/>
    <n v="45"/>
    <s v="Video"/>
    <s v="9x16"/>
    <n v="110.04"/>
    <n v="57922"/>
    <n v="30601"/>
    <n v="100"/>
    <s v="Low"/>
    <n v="3.2678670631678705E-3"/>
    <n v="12453"/>
    <n v="230"/>
    <n v="1.8928"/>
    <n v="0.2149960291426401"/>
    <n v="3.9708573598977934E-3"/>
    <n v="1.9"/>
    <n v="1.7264597216946928E-3"/>
    <s v="Bad"/>
  </r>
  <r>
    <s v="UAE"/>
    <s v="Snapchat_MK~UAE_TG"/>
    <s v="Awareness"/>
    <s v="Interests"/>
    <x v="0"/>
    <s v="AR"/>
    <n v="45"/>
    <s v="Video"/>
    <s v="9x16"/>
    <n v="82.73"/>
    <n v="88110"/>
    <n v="84751"/>
    <n v="202"/>
    <s v="Low"/>
    <n v="2.3834527026229779E-3"/>
    <n v="2080"/>
    <n v="51"/>
    <n v="1.0396000000000001"/>
    <n v="2.3606855067529225E-2"/>
    <n v="5.7882192713653387E-4"/>
    <n v="0.94"/>
    <n v="2.2925888094427419E-3"/>
    <s v="Bad"/>
  </r>
  <r>
    <s v="UAE"/>
    <s v="Snapchat_MK~UAE_TG"/>
    <s v="Consideration"/>
    <s v="Interests"/>
    <x v="0"/>
    <s v="EN"/>
    <n v="45"/>
    <s v="Video"/>
    <s v="9x16"/>
    <n v="62.96"/>
    <n v="33929"/>
    <n v="17927"/>
    <n v="84"/>
    <s v="Low"/>
    <n v="4.6856696602889493E-3"/>
    <n v="6655"/>
    <n v="145"/>
    <n v="1.8926000000000001"/>
    <n v="0.19614489080137934"/>
    <n v="4.2736302278287008E-3"/>
    <n v="1.86"/>
    <n v="2.4757582009490406E-3"/>
    <s v="Ba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B25BAD9-45F4-4279-A3B8-11C26A1906BC}" name="PivotTable9"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Age_Group">
  <location ref="B24:D26" firstHeaderRow="0" firstDataRow="1" firstDataCol="1"/>
  <pivotFields count="19">
    <pivotField showAll="0"/>
    <pivotField showAll="0"/>
    <pivotField showAll="0"/>
    <pivotField showAll="0"/>
    <pivotField showAll="0"/>
    <pivotField showAll="0"/>
    <pivotField numFmtId="1" showAll="0"/>
    <pivotField numFmtId="1" showAll="0"/>
    <pivotField numFmtId="2" showAll="0"/>
    <pivotField numFmtId="1" showAll="0"/>
    <pivotField numFmtId="1" showAll="0"/>
    <pivotField numFmtId="1" showAll="0"/>
    <pivotField dataField="1" numFmtId="10" showAll="0"/>
    <pivotField numFmtId="166" showAll="0"/>
    <pivotField numFmtId="1" showAll="0"/>
    <pivotField numFmtId="166" showAll="0"/>
    <pivotField axis="axisRow" showAll="0">
      <items count="3">
        <item x="1"/>
        <item x="0"/>
        <item t="default"/>
      </items>
    </pivotField>
    <pivotField dataField="1" numFmtId="166" showAll="0"/>
    <pivotField showAll="0"/>
  </pivotFields>
  <rowFields count="1">
    <field x="16"/>
  </rowFields>
  <rowItems count="2">
    <i>
      <x/>
    </i>
    <i>
      <x v="1"/>
    </i>
  </rowItems>
  <colFields count="1">
    <field x="-2"/>
  </colFields>
  <colItems count="2">
    <i>
      <x/>
    </i>
    <i i="1">
      <x v="1"/>
    </i>
  </colItems>
  <dataFields count="2">
    <dataField name="Average CTR" fld="12" subtotal="average" baseField="16" baseItem="0"/>
    <dataField name="Average Conversion Rate" fld="17" subtotal="average" baseField="16" baseItem="0" numFmtId="10"/>
  </dataFields>
  <formats count="16">
    <format dxfId="90">
      <pivotArea collapsedLevelsAreSubtotals="1" fieldPosition="0">
        <references count="1">
          <reference field="16" count="1">
            <x v="0"/>
          </reference>
        </references>
      </pivotArea>
    </format>
    <format dxfId="89">
      <pivotArea field="16" type="button" dataOnly="0" labelOnly="1" outline="0" axis="axisRow" fieldPosition="0"/>
    </format>
    <format dxfId="88">
      <pivotArea dataOnly="0" labelOnly="1" fieldPosition="0">
        <references count="1">
          <reference field="16" count="1">
            <x v="0"/>
          </reference>
        </references>
      </pivotArea>
    </format>
    <format dxfId="87">
      <pivotArea collapsedLevelsAreSubtotals="1" fieldPosition="0">
        <references count="1">
          <reference field="16" count="1">
            <x v="1"/>
          </reference>
        </references>
      </pivotArea>
    </format>
    <format dxfId="86">
      <pivotArea dataOnly="0" labelOnly="1" fieldPosition="0">
        <references count="1">
          <reference field="16" count="1">
            <x v="1"/>
          </reference>
        </references>
      </pivotArea>
    </format>
    <format dxfId="85">
      <pivotArea collapsedLevelsAreSubtotals="1" fieldPosition="0">
        <references count="2">
          <reference field="4294967294" count="1" selected="0">
            <x v="0"/>
          </reference>
          <reference field="16" count="0"/>
        </references>
      </pivotArea>
    </format>
    <format dxfId="84">
      <pivotArea field="16" type="button" dataOnly="0" labelOnly="1" outline="0" axis="axisRow" fieldPosition="0"/>
    </format>
    <format dxfId="83">
      <pivotArea dataOnly="0" labelOnly="1" outline="0" fieldPosition="0">
        <references count="1">
          <reference field="4294967294" count="2">
            <x v="0"/>
            <x v="1"/>
          </reference>
        </references>
      </pivotArea>
    </format>
    <format dxfId="82">
      <pivotArea outline="0" collapsedLevelsAreSubtotals="1" fieldPosition="0"/>
    </format>
    <format dxfId="81">
      <pivotArea dataOnly="0" labelOnly="1" fieldPosition="0">
        <references count="1">
          <reference field="16" count="0"/>
        </references>
      </pivotArea>
    </format>
    <format dxfId="80">
      <pivotArea outline="0" collapsedLevelsAreSubtotals="1" fieldPosition="0"/>
    </format>
    <format dxfId="79">
      <pivotArea dataOnly="0" labelOnly="1" fieldPosition="0">
        <references count="1">
          <reference field="16" count="0"/>
        </references>
      </pivotArea>
    </format>
    <format dxfId="78">
      <pivotArea outline="0" collapsedLevelsAreSubtotals="1" fieldPosition="0">
        <references count="1">
          <reference field="4294967294" count="1" selected="0">
            <x v="1"/>
          </reference>
        </references>
      </pivotArea>
    </format>
    <format dxfId="77">
      <pivotArea dataOnly="0" labelOnly="1" outline="0" fieldPosition="0">
        <references count="1">
          <reference field="4294967294" count="1">
            <x v="0"/>
          </reference>
        </references>
      </pivotArea>
    </format>
    <format dxfId="76">
      <pivotArea dataOnly="0" labelOnly="1" outline="0" fieldPosition="0">
        <references count="1">
          <reference field="4294967294" count="1">
            <x v="1"/>
          </reference>
        </references>
      </pivotArea>
    </format>
    <format dxfId="75">
      <pivotArea dataOnly="0" labelOnly="1" outline="0" fieldPosition="0">
        <references count="1">
          <reference field="4294967294" count="1">
            <x v="1"/>
          </reference>
        </references>
      </pivotArea>
    </format>
  </formats>
  <conditionalFormats count="1">
    <conditionalFormat scope="field" type="all" priority="2">
      <pivotAreas count="1">
        <pivotArea outline="0" collapsedLevelsAreSubtotals="1" fieldPosition="0">
          <references count="2">
            <reference field="4294967294" count="1" selected="0">
              <x v="1"/>
            </reference>
            <reference field="16" count="0" selected="0"/>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E4D62D-D242-4808-B06B-650E421BD896}" name="PivotTable13"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ampaign Name">
  <location ref="B14:E22" firstHeaderRow="0" firstDataRow="1" firstDataCol="1"/>
  <pivotFields count="19">
    <pivotField showAll="0"/>
    <pivotField axis="axisRow" showAll="0">
      <items count="9">
        <item x="0"/>
        <item x="7"/>
        <item x="6"/>
        <item x="5"/>
        <item x="4"/>
        <item x="3"/>
        <item x="2"/>
        <item x="1"/>
        <item t="default"/>
      </items>
    </pivotField>
    <pivotField showAll="0"/>
    <pivotField showAll="0"/>
    <pivotField showAll="0"/>
    <pivotField showAll="0"/>
    <pivotField numFmtId="2" showAll="0"/>
    <pivotField dataField="1" numFmtId="1" showAll="0"/>
    <pivotField numFmtId="1" showAll="0"/>
    <pivotField dataField="1" numFmtId="1" showAll="0"/>
    <pivotField numFmtId="165" showAll="0"/>
    <pivotField numFmtId="2" showAll="0"/>
    <pivotField numFmtId="1" showAll="0"/>
    <pivotField numFmtId="1" showAll="0"/>
    <pivotField numFmtId="167" showAll="0"/>
    <pivotField numFmtId="166" showAll="0"/>
    <pivotField numFmtId="1" showAll="0"/>
    <pivotField numFmtId="165" showAll="0"/>
    <pivotField dataField="1" dragToRow="0" dragToCol="0" dragToPage="0" showAll="0" defaultSubtotal="0"/>
  </pivotFields>
  <rowFields count="1">
    <field x="1"/>
  </rowFields>
  <rowItems count="8">
    <i>
      <x/>
    </i>
    <i>
      <x v="1"/>
    </i>
    <i>
      <x v="2"/>
    </i>
    <i>
      <x v="3"/>
    </i>
    <i>
      <x v="4"/>
    </i>
    <i>
      <x v="5"/>
    </i>
    <i>
      <x v="6"/>
    </i>
    <i>
      <x v="7"/>
    </i>
  </rowItems>
  <colFields count="1">
    <field x="-2"/>
  </colFields>
  <colItems count="3">
    <i>
      <x/>
    </i>
    <i i="1">
      <x v="1"/>
    </i>
    <i i="2">
      <x v="2"/>
    </i>
  </colItems>
  <dataFields count="3">
    <dataField name="Sum of Clicks" fld="7" baseField="0" baseItem="0"/>
    <dataField name="Sum of Total Impressions" fld="9" baseField="0" baseItem="0"/>
    <dataField name="%CTR / Campaign" fld="18" baseField="1" baseItem="0" numFmtId="10"/>
  </dataFields>
  <formats count="14">
    <format dxfId="104">
      <pivotArea outline="0" collapsedLevelsAreSubtotals="1" fieldPosition="0">
        <references count="1">
          <reference field="4294967294" count="1" selected="0">
            <x v="2"/>
          </reference>
        </references>
      </pivotArea>
    </format>
    <format dxfId="103">
      <pivotArea collapsedLevelsAreSubtotals="1" fieldPosition="0">
        <references count="1">
          <reference field="1" count="1">
            <x v="7"/>
          </reference>
        </references>
      </pivotArea>
    </format>
    <format dxfId="102">
      <pivotArea dataOnly="0" labelOnly="1" fieldPosition="0">
        <references count="1">
          <reference field="1" count="1">
            <x v="7"/>
          </reference>
        </references>
      </pivotArea>
    </format>
    <format dxfId="101">
      <pivotArea field="1" type="button" dataOnly="0" labelOnly="1" outline="0" axis="axisRow" fieldPosition="0"/>
    </format>
    <format dxfId="100">
      <pivotArea dataOnly="0" labelOnly="1" outline="0" fieldPosition="0">
        <references count="1">
          <reference field="4294967294" count="3">
            <x v="0"/>
            <x v="1"/>
            <x v="2"/>
          </reference>
        </references>
      </pivotArea>
    </format>
    <format dxfId="99">
      <pivotArea field="1" type="button" dataOnly="0" labelOnly="1" outline="0" axis="axisRow" fieldPosition="0"/>
    </format>
    <format dxfId="98">
      <pivotArea dataOnly="0" labelOnly="1" outline="0" fieldPosition="0">
        <references count="1">
          <reference field="4294967294" count="3">
            <x v="0"/>
            <x v="1"/>
            <x v="2"/>
          </reference>
        </references>
      </pivotArea>
    </format>
    <format dxfId="97">
      <pivotArea outline="0" collapsedLevelsAreSubtotals="1" fieldPosition="0"/>
    </format>
    <format dxfId="96">
      <pivotArea dataOnly="0" labelOnly="1" fieldPosition="0">
        <references count="1">
          <reference field="1" count="0"/>
        </references>
      </pivotArea>
    </format>
    <format dxfId="95">
      <pivotArea collapsedLevelsAreSubtotals="1" fieldPosition="0">
        <references count="1">
          <reference field="1" count="1">
            <x v="1"/>
          </reference>
        </references>
      </pivotArea>
    </format>
    <format dxfId="94">
      <pivotArea dataOnly="0" labelOnly="1" fieldPosition="0">
        <references count="1">
          <reference field="1" count="1">
            <x v="1"/>
          </reference>
        </references>
      </pivotArea>
    </format>
    <format dxfId="93">
      <pivotArea dataOnly="0" labelOnly="1" outline="0" fieldPosition="0">
        <references count="1">
          <reference field="4294967294" count="1">
            <x v="1"/>
          </reference>
        </references>
      </pivotArea>
    </format>
    <format dxfId="92">
      <pivotArea dataOnly="0" labelOnly="1" outline="0" fieldPosition="0">
        <references count="1">
          <reference field="4294967294" count="1">
            <x v="1"/>
          </reference>
        </references>
      </pivotArea>
    </format>
    <format dxfId="91">
      <pivotArea dataOnly="0" labelOnly="1" outline="0" fieldPosition="0">
        <references count="1">
          <reference field="4294967294" count="1">
            <x v="2"/>
          </reference>
        </references>
      </pivotArea>
    </format>
  </formats>
  <conditionalFormats count="1">
    <conditionalFormat scope="field" type="all" priority="1">
      <pivotAreas count="1">
        <pivotArea outline="0" collapsedLevelsAreSubtotals="1" fieldPosition="0">
          <references count="2">
            <reference field="4294967294" count="1" selected="0">
              <x v="2"/>
            </reference>
            <reference field="1" count="0" selected="0"/>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B6ADBF7-F27D-4B3F-969A-7216C7E597B2}" name="PivotTable2"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4:I10" firstHeaderRow="1" firstDataRow="2" firstDataCol="1"/>
  <pivotFields count="21">
    <pivotField axis="axisCol" compact="0" outline="0" showAll="0" sortType="descending">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axis="axisRow" compact="0" outline="0"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compact="0" numFmtId="2" outline="0" showAll="0"/>
    <pivotField dataField="1" compact="0" numFmtId="1" outline="0" showAll="0"/>
    <pivotField compact="0" numFmtId="1" outline="0" showAll="0"/>
    <pivotField compact="0" numFmtId="1" outline="0" showAll="0"/>
    <pivotField compact="0" numFmtId="1" outline="0" showAll="0"/>
    <pivotField compact="0" numFmtId="1" outline="0" showAll="0"/>
    <pivotField compact="0" numFmtId="1" outline="0" showAll="0"/>
    <pivotField compact="0" numFmtId="164" outline="0" showAll="0"/>
    <pivotField compact="0" numFmtId="164" outline="0" showAll="0"/>
    <pivotField compact="0" numFmtId="164" outline="0" showAll="0"/>
    <pivotField compact="0" numFmtId="2" outline="0" showAll="0"/>
    <pivotField compact="0" numFmtId="10" outline="0" showAll="0"/>
    <pivotField compact="0" numFmtId="10" outline="0" showAll="0"/>
    <pivotField compact="0" outline="0" showAll="0"/>
  </pivotFields>
  <rowFields count="1">
    <field x="6"/>
  </rowFields>
  <rowItems count="5">
    <i>
      <x/>
    </i>
    <i>
      <x v="1"/>
    </i>
    <i>
      <x v="2"/>
    </i>
    <i>
      <x v="3"/>
    </i>
    <i t="grand">
      <x/>
    </i>
  </rowItems>
  <colFields count="1">
    <field x="0"/>
  </colFields>
  <colItems count="8">
    <i>
      <x/>
    </i>
    <i>
      <x v="6"/>
    </i>
    <i>
      <x v="2"/>
    </i>
    <i>
      <x v="3"/>
    </i>
    <i>
      <x v="5"/>
    </i>
    <i>
      <x v="4"/>
    </i>
    <i>
      <x v="1"/>
    </i>
    <i t="grand">
      <x/>
    </i>
  </colItems>
  <dataFields count="1">
    <dataField name="Sum of Impressions" fld="8" baseField="0" baseItem="0" numFmtId="1"/>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0" type="button" dataOnly="0" labelOnly="1" outline="0" axis="axisCol" fieldPosition="0"/>
    </format>
    <format dxfId="5">
      <pivotArea type="topRight" dataOnly="0" labelOnly="1" outline="0" fieldPosition="0"/>
    </format>
    <format dxfId="4">
      <pivotArea field="6" type="button" dataOnly="0" labelOnly="1" outline="0" axis="axisRow" fieldPosition="0"/>
    </format>
    <format dxfId="3">
      <pivotArea dataOnly="0" labelOnly="1" outline="0" fieldPosition="0">
        <references count="1">
          <reference field="6" count="0"/>
        </references>
      </pivotArea>
    </format>
    <format dxfId="2">
      <pivotArea dataOnly="0" labelOnly="1" grandRow="1" outline="0" fieldPosition="0"/>
    </format>
    <format dxfId="1">
      <pivotArea dataOnly="0" labelOnly="1" outline="0" fieldPosition="0">
        <references count="1">
          <reference field="0" count="0"/>
        </references>
      </pivotArea>
    </format>
    <format dxfId="0">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FB14B70-7290-449B-A5DD-A0FF50AE69E5}"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Age Group">
  <location ref="A81:B84" firstHeaderRow="1" firstDataRow="1" firstDataCol="1"/>
  <pivotFields count="23">
    <pivotField showAll="0"/>
    <pivotField showAll="0"/>
    <pivotField showAll="0"/>
    <pivotField showAll="0"/>
    <pivotField axis="axisRow" showAll="0">
      <items count="3">
        <item x="1"/>
        <item x="0"/>
        <item t="default"/>
      </items>
    </pivotField>
    <pivotField showAll="0"/>
    <pivotField showAll="0"/>
    <pivotField showAll="0"/>
    <pivotField showAll="0"/>
    <pivotField numFmtId="2" showAll="0"/>
    <pivotField numFmtId="1" showAll="0"/>
    <pivotField numFmtId="1" showAll="0"/>
    <pivotField numFmtId="1" showAll="0"/>
    <pivotField showAll="0"/>
    <pivotField dataField="1" numFmtId="165" showAll="0"/>
    <pivotField numFmtId="1" showAll="0"/>
    <pivotField numFmtId="1" showAll="0"/>
    <pivotField numFmtId="165" showAll="0"/>
    <pivotField numFmtId="10" showAll="0"/>
    <pivotField numFmtId="10" showAll="0"/>
    <pivotField numFmtId="2" showAll="0"/>
    <pivotField numFmtId="10" showAll="0"/>
    <pivotField showAll="0"/>
  </pivotFields>
  <rowFields count="1">
    <field x="4"/>
  </rowFields>
  <rowItems count="3">
    <i>
      <x/>
    </i>
    <i>
      <x v="1"/>
    </i>
    <i t="grand">
      <x/>
    </i>
  </rowItems>
  <colItems count="1">
    <i/>
  </colItems>
  <dataFields count="1">
    <dataField name="Average Engagement Rate" fld="14" subtotal="average" baseField="4" baseItem="0" numFmtId="10"/>
  </dataFields>
  <formats count="7">
    <format dxfId="16">
      <pivotArea outline="0" collapsedLevelsAreSubtotals="1" fieldPosition="0"/>
    </format>
    <format dxfId="15">
      <pivotArea type="all" dataOnly="0" outline="0" fieldPosition="0"/>
    </format>
    <format dxfId="14">
      <pivotArea outline="0" collapsedLevelsAreSubtotals="1" fieldPosition="0"/>
    </format>
    <format dxfId="13">
      <pivotArea field="4" type="button" dataOnly="0" labelOnly="1" outline="0" axis="axisRow" fieldPosition="0"/>
    </format>
    <format dxfId="12">
      <pivotArea dataOnly="0" labelOnly="1" fieldPosition="0">
        <references count="1">
          <reference field="4" count="0"/>
        </references>
      </pivotArea>
    </format>
    <format dxfId="11">
      <pivotArea dataOnly="0" labelOnly="1" grandRow="1" outline="0" fieldPosition="0"/>
    </format>
    <format dxfId="1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34A9475-3EFB-47CC-BFDA-65F29FFC6238}" name="PivotTable11" cacheId="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8">
  <location ref="A43:B51" firstHeaderRow="1" firstDataRow="1" firstDataCol="1"/>
  <pivotFields count="20">
    <pivotField axis="axisRow" compact="0" outline="0" showAll="0" sortType="descending">
      <items count="8">
        <item x="6"/>
        <item x="5"/>
        <item x="4"/>
        <item x="3"/>
        <item x="2"/>
        <item x="1"/>
        <item x="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dataField="1" compact="0" numFmtId="2" outline="0" showAll="0"/>
    <pivotField compact="0" numFmtId="1" outline="0" showAll="0"/>
    <pivotField compact="0" numFmtId="1" outline="0" showAll="0"/>
    <pivotField compact="0" numFmtId="1" outline="0" showAll="0"/>
    <pivotField compact="0" numFmtId="1" outline="0" showAll="0"/>
    <pivotField compact="0" numFmtId="1" outline="0" showAll="0"/>
    <pivotField compact="0" numFmtId="1" outline="0" showAll="0"/>
    <pivotField compact="0" outline="0" showAll="0"/>
    <pivotField compact="0" numFmtId="10" outline="0" showAll="0"/>
    <pivotField compact="0" numFmtId="10" outline="0" showAll="0"/>
    <pivotField compact="0" numFmtId="2" outline="0" showAll="0"/>
    <pivotField compact="0" numFmtId="10" outline="0" showAll="0"/>
    <pivotField compact="0" outline="0" showAll="0"/>
  </pivotFields>
  <rowFields count="1">
    <field x="0"/>
  </rowFields>
  <rowItems count="8">
    <i>
      <x v="6"/>
    </i>
    <i>
      <x/>
    </i>
    <i>
      <x v="2"/>
    </i>
    <i>
      <x v="3"/>
    </i>
    <i>
      <x v="5"/>
    </i>
    <i>
      <x v="4"/>
    </i>
    <i>
      <x v="1"/>
    </i>
    <i t="grand">
      <x/>
    </i>
  </rowItems>
  <colItems count="1">
    <i/>
  </colItems>
  <dataFields count="1">
    <dataField name="Sum of Amount spent (USD)" fld="7" baseField="0" baseItem="0" numFmtId="2"/>
  </dataFields>
  <formats count="6">
    <format dxfId="22">
      <pivotArea type="all" dataOnly="0" outline="0" fieldPosition="0"/>
    </format>
    <format dxfId="21">
      <pivotArea outline="0" collapsedLevelsAreSubtotals="1" fieldPosition="0"/>
    </format>
    <format dxfId="20">
      <pivotArea field="0" type="button" dataOnly="0" labelOnly="1" outline="0" axis="axisRow" fieldPosition="0"/>
    </format>
    <format dxfId="19">
      <pivotArea dataOnly="0" labelOnly="1" outline="0" fieldPosition="0">
        <references count="1">
          <reference field="0" count="0"/>
        </references>
      </pivotArea>
    </format>
    <format dxfId="18">
      <pivotArea dataOnly="0" labelOnly="1" grandRow="1" outline="0" fieldPosition="0"/>
    </format>
    <format dxfId="17">
      <pivotArea dataOnly="0" labelOnly="1" outline="0" axis="axisValues" fieldPosition="0"/>
    </format>
  </formats>
  <chartFormats count="2">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5B94597-313C-47B0-BEE4-6530FC13C726}" name="PivotTable5"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
  <location ref="A12:D16" firstHeaderRow="1" firstDataRow="2" firstDataCol="1"/>
  <pivotFields count="21">
    <pivotField compact="0" outline="0" showAll="0"/>
    <pivotField compact="0" outline="0" showAll="0"/>
    <pivotField compact="0" outline="0" showAll="0"/>
    <pivotField axis="axisRow" compact="0" outline="0" showAll="0">
      <items count="3">
        <item x="1"/>
        <item x="0"/>
        <item t="default"/>
      </items>
    </pivotField>
    <pivotField axis="axisCol" compact="0" outline="0" showAll="0">
      <items count="3">
        <item x="0"/>
        <item x="1"/>
        <item t="default"/>
      </items>
    </pivotField>
    <pivotField compact="0" outline="0" showAll="0"/>
    <pivotField compact="0" outline="0" showAll="0"/>
    <pivotField compact="0" numFmtId="2" outline="0" showAll="0"/>
    <pivotField compact="0" numFmtId="1" outline="0" showAll="0"/>
    <pivotField compact="0" numFmtId="1" outline="0" showAll="0"/>
    <pivotField compact="0" numFmtId="1" outline="0" showAll="0"/>
    <pivotField compact="0" numFmtId="1" outline="0" showAll="0"/>
    <pivotField compact="0" numFmtId="1" outline="0" showAll="0"/>
    <pivotField compact="0" numFmtId="1" outline="0" showAll="0"/>
    <pivotField compact="0" numFmtId="165" outline="0" showAll="0"/>
    <pivotField compact="0" numFmtId="164" outline="0" showAll="0"/>
    <pivotField compact="0" numFmtId="164" outline="0" showAll="0"/>
    <pivotField compact="0" numFmtId="2" outline="0" showAll="0"/>
    <pivotField dataField="1" compact="0" numFmtId="10" outline="0" showAll="0"/>
    <pivotField compact="0" numFmtId="10" outline="0" showAll="0"/>
    <pivotField compact="0" outline="0" showAll="0"/>
  </pivotFields>
  <rowFields count="1">
    <field x="3"/>
  </rowFields>
  <rowItems count="3">
    <i>
      <x/>
    </i>
    <i>
      <x v="1"/>
    </i>
    <i t="grand">
      <x/>
    </i>
  </rowItems>
  <colFields count="1">
    <field x="4"/>
  </colFields>
  <colItems count="3">
    <i>
      <x/>
    </i>
    <i>
      <x v="1"/>
    </i>
    <i t="grand">
      <x/>
    </i>
  </colItems>
  <dataFields count="1">
    <dataField name="Average of CTR" fld="18" subtotal="average" baseField="0" baseItem="0" numFmtId="10"/>
  </dataFields>
  <formats count="10">
    <format dxfId="32">
      <pivotArea type="all" dataOnly="0" outline="0" fieldPosition="0"/>
    </format>
    <format dxfId="31">
      <pivotArea outline="0" collapsedLevelsAreSubtotals="1" fieldPosition="0"/>
    </format>
    <format dxfId="30">
      <pivotArea type="origin" dataOnly="0" labelOnly="1" outline="0" fieldPosition="0"/>
    </format>
    <format dxfId="29">
      <pivotArea field="4" type="button" dataOnly="0" labelOnly="1" outline="0" axis="axisCol" fieldPosition="0"/>
    </format>
    <format dxfId="28">
      <pivotArea type="topRight" dataOnly="0" labelOnly="1" outline="0" fieldPosition="0"/>
    </format>
    <format dxfId="27">
      <pivotArea field="3" type="button" dataOnly="0" labelOnly="1" outline="0" axis="axisRow" fieldPosition="0"/>
    </format>
    <format dxfId="26">
      <pivotArea dataOnly="0" labelOnly="1" outline="0" fieldPosition="0">
        <references count="1">
          <reference field="3" count="0"/>
        </references>
      </pivotArea>
    </format>
    <format dxfId="25">
      <pivotArea dataOnly="0" labelOnly="1" grandRow="1" outline="0" fieldPosition="0"/>
    </format>
    <format dxfId="24">
      <pivotArea dataOnly="0" labelOnly="1" outline="0" fieldPosition="0">
        <references count="1">
          <reference field="4" count="0"/>
        </references>
      </pivotArea>
    </format>
    <format dxfId="23">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7868227-340A-4AC7-BCA7-B4A662034D4B}"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Age Group">
  <location ref="A53:B56" firstHeaderRow="1" firstDataRow="1" firstDataCol="1"/>
  <pivotFields count="20">
    <pivotField showAll="0"/>
    <pivotField showAll="0"/>
    <pivotField showAll="0"/>
    <pivotField axis="axisRow" showAll="0">
      <items count="3">
        <item x="1"/>
        <item x="0"/>
        <item t="default"/>
      </items>
    </pivotField>
    <pivotField showAll="0"/>
    <pivotField showAll="0"/>
    <pivotField showAll="0"/>
    <pivotField numFmtId="2" showAll="0"/>
    <pivotField numFmtId="1" showAll="0"/>
    <pivotField numFmtId="1" showAll="0"/>
    <pivotField numFmtId="1" showAll="0"/>
    <pivotField numFmtId="1" showAll="0"/>
    <pivotField numFmtId="1" showAll="0"/>
    <pivotField numFmtId="1" showAll="0"/>
    <pivotField dataField="1" numFmtId="165" showAll="0"/>
    <pivotField numFmtId="10" showAll="0"/>
    <pivotField numFmtId="10" showAll="0"/>
    <pivotField numFmtId="2" showAll="0"/>
    <pivotField numFmtId="10" showAll="0"/>
    <pivotField showAll="0"/>
  </pivotFields>
  <rowFields count="1">
    <field x="3"/>
  </rowFields>
  <rowItems count="3">
    <i>
      <x/>
    </i>
    <i>
      <x v="1"/>
    </i>
    <i t="grand">
      <x/>
    </i>
  </rowItems>
  <colItems count="1">
    <i/>
  </colItems>
  <dataFields count="1">
    <dataField name="Average Engagement Rate" fld="14" subtotal="average" baseField="3" baseItem="0" numFmtId="10"/>
  </dataFields>
  <formats count="7">
    <format dxfId="39">
      <pivotArea outline="0" collapsedLevelsAreSubtotals="1" fieldPosition="0"/>
    </format>
    <format dxfId="38">
      <pivotArea type="all" dataOnly="0" outline="0" fieldPosition="0"/>
    </format>
    <format dxfId="37">
      <pivotArea outline="0" collapsedLevelsAreSubtotals="1" fieldPosition="0"/>
    </format>
    <format dxfId="36">
      <pivotArea field="3" type="button" dataOnly="0" labelOnly="1" outline="0" axis="axisRow" fieldPosition="0"/>
    </format>
    <format dxfId="35">
      <pivotArea dataOnly="0" labelOnly="1" fieldPosition="0">
        <references count="1">
          <reference field="3" count="0"/>
        </references>
      </pivotArea>
    </format>
    <format dxfId="34">
      <pivotArea dataOnly="0" labelOnly="1" grandRow="1" outline="0" fieldPosition="0"/>
    </format>
    <format dxfId="3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913D096-6881-41C5-976D-E115066EBC40}" name="PivotTable7"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8">
  <location ref="A18:B26" firstHeaderRow="1" firstDataRow="1" firstDataCol="1"/>
  <pivotFields count="21">
    <pivotField axis="axisRow" compact="0" outline="0" showAll="0" sortType="descending">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dataField="1" compact="0" numFmtId="2" outline="0" showAll="0"/>
    <pivotField compact="0" numFmtId="1" outline="0" showAll="0"/>
    <pivotField compact="0" numFmtId="1" outline="0" showAll="0"/>
    <pivotField compact="0" numFmtId="1" outline="0" showAll="0"/>
    <pivotField compact="0" numFmtId="1" outline="0" showAll="0"/>
    <pivotField compact="0" numFmtId="1" outline="0" showAll="0"/>
    <pivotField compact="0" numFmtId="1" outline="0" showAll="0"/>
    <pivotField compact="0" numFmtId="165" outline="0" showAll="0"/>
    <pivotField compact="0" numFmtId="164" outline="0" showAll="0"/>
    <pivotField compact="0" numFmtId="164" outline="0" showAll="0"/>
    <pivotField compact="0" numFmtId="2" outline="0" showAll="0"/>
    <pivotField compact="0" numFmtId="10" outline="0" showAll="0"/>
    <pivotField compact="0" numFmtId="10" outline="0" showAll="0"/>
    <pivotField compact="0" outline="0" showAll="0"/>
  </pivotFields>
  <rowFields count="1">
    <field x="0"/>
  </rowFields>
  <rowItems count="8">
    <i>
      <x v="6"/>
    </i>
    <i>
      <x/>
    </i>
    <i>
      <x v="2"/>
    </i>
    <i>
      <x v="3"/>
    </i>
    <i>
      <x v="5"/>
    </i>
    <i>
      <x v="4"/>
    </i>
    <i>
      <x v="1"/>
    </i>
    <i t="grand">
      <x/>
    </i>
  </rowItems>
  <colItems count="1">
    <i/>
  </colItems>
  <dataFields count="1">
    <dataField name="Sum of Amount spent (USD)" fld="7" baseField="0" baseItem="0" numFmtId="2"/>
  </dataFields>
  <formats count="6">
    <format dxfId="45">
      <pivotArea type="all" dataOnly="0" outline="0" fieldPosition="0"/>
    </format>
    <format dxfId="44">
      <pivotArea outline="0" collapsedLevelsAreSubtotals="1" fieldPosition="0"/>
    </format>
    <format dxfId="43">
      <pivotArea field="0" type="button" dataOnly="0" labelOnly="1" outline="0" axis="axisRow" fieldPosition="0"/>
    </format>
    <format dxfId="42">
      <pivotArea dataOnly="0" labelOnly="1" outline="0" fieldPosition="0">
        <references count="1">
          <reference field="0" count="0"/>
        </references>
      </pivotArea>
    </format>
    <format dxfId="41">
      <pivotArea dataOnly="0" labelOnly="1" grandRow="1" outline="0" fieldPosition="0"/>
    </format>
    <format dxfId="40">
      <pivotArea dataOnly="0" labelOnly="1" outline="0" axis="axisValues" fieldPosition="0"/>
    </format>
  </format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6"/>
          </reference>
        </references>
      </pivotArea>
    </chartFormat>
    <chartFormat chart="3" format="8">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8726095-D740-4637-9599-BE04079325C7}" name="PivotTable10" cacheId="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8">
  <location ref="A37:D41" firstHeaderRow="1" firstDataRow="2" firstDataCol="1"/>
  <pivotFields count="20">
    <pivotField compact="0" outline="0" showAll="0"/>
    <pivotField compact="0" outline="0" showAll="0"/>
    <pivotField compact="0" outline="0" showAll="0"/>
    <pivotField axis="axisRow" compact="0" outline="0" showAll="0">
      <items count="3">
        <item x="1"/>
        <item x="0"/>
        <item t="default"/>
      </items>
    </pivotField>
    <pivotField axis="axisCol" compact="0" outline="0" showAll="0">
      <items count="3">
        <item x="0"/>
        <item x="1"/>
        <item t="default"/>
      </items>
    </pivotField>
    <pivotField compact="0" outline="0" showAll="0"/>
    <pivotField compact="0" outline="0" showAll="0"/>
    <pivotField compact="0" numFmtId="2" outline="0" showAll="0"/>
    <pivotField compact="0" numFmtId="1" outline="0" showAll="0"/>
    <pivotField compact="0" numFmtId="1" outline="0" showAll="0"/>
    <pivotField compact="0" numFmtId="1" outline="0" showAll="0"/>
    <pivotField compact="0" numFmtId="1" outline="0" showAll="0"/>
    <pivotField compact="0" numFmtId="1" outline="0" showAll="0"/>
    <pivotField compact="0" numFmtId="1" outline="0" showAll="0"/>
    <pivotField compact="0" outline="0" showAll="0"/>
    <pivotField compact="0" numFmtId="10" outline="0" showAll="0"/>
    <pivotField compact="0" numFmtId="10" outline="0" showAll="0"/>
    <pivotField compact="0" numFmtId="2" outline="0" showAll="0"/>
    <pivotField dataField="1" compact="0" numFmtId="10" outline="0" showAll="0"/>
    <pivotField compact="0" outline="0" showAll="0"/>
  </pivotFields>
  <rowFields count="1">
    <field x="3"/>
  </rowFields>
  <rowItems count="3">
    <i>
      <x/>
    </i>
    <i>
      <x v="1"/>
    </i>
    <i t="grand">
      <x/>
    </i>
  </rowItems>
  <colFields count="1">
    <field x="4"/>
  </colFields>
  <colItems count="3">
    <i>
      <x/>
    </i>
    <i>
      <x v="1"/>
    </i>
    <i t="grand">
      <x/>
    </i>
  </colItems>
  <dataFields count="1">
    <dataField name="Average of CTR" fld="18" subtotal="average" baseField="0" baseItem="0" numFmtId="10"/>
  </dataFields>
  <formats count="10">
    <format dxfId="55">
      <pivotArea type="all" dataOnly="0" outline="0" fieldPosition="0"/>
    </format>
    <format dxfId="54">
      <pivotArea outline="0" collapsedLevelsAreSubtotals="1" fieldPosition="0"/>
    </format>
    <format dxfId="53">
      <pivotArea type="origin" dataOnly="0" labelOnly="1" outline="0" fieldPosition="0"/>
    </format>
    <format dxfId="52">
      <pivotArea field="4" type="button" dataOnly="0" labelOnly="1" outline="0" axis="axisCol" fieldPosition="0"/>
    </format>
    <format dxfId="51">
      <pivotArea type="topRight" dataOnly="0" labelOnly="1" outline="0" fieldPosition="0"/>
    </format>
    <format dxfId="50">
      <pivotArea field="3" type="button" dataOnly="0" labelOnly="1" outline="0" axis="axisRow" fieldPosition="0"/>
    </format>
    <format dxfId="49">
      <pivotArea dataOnly="0" labelOnly="1" outline="0" fieldPosition="0">
        <references count="1">
          <reference field="3" count="0"/>
        </references>
      </pivotArea>
    </format>
    <format dxfId="48">
      <pivotArea dataOnly="0" labelOnly="1" grandRow="1" outline="0" fieldPosition="0"/>
    </format>
    <format dxfId="47">
      <pivotArea dataOnly="0" labelOnly="1" outline="0" fieldPosition="0">
        <references count="1">
          <reference field="4" count="0"/>
        </references>
      </pivotArea>
    </format>
    <format dxfId="46">
      <pivotArea dataOnly="0" labelOnly="1" grandCol="1" outline="0" fieldPosition="0"/>
    </format>
  </formats>
  <chartFormats count="2">
    <chartFormat chart="3" format="4" series="1">
      <pivotArea type="data" outline="0" fieldPosition="0">
        <references count="2">
          <reference field="4294967294" count="1" selected="0">
            <x v="0"/>
          </reference>
          <reference field="4" count="1" selected="0">
            <x v="0"/>
          </reference>
        </references>
      </pivotArea>
    </chartFormat>
    <chartFormat chart="3" format="5"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F0BE300-1CBC-44EB-B3AD-B143C837DD34}" name="PivotTable8" cacheId="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8">
  <location ref="A76:B79" firstHeaderRow="1" firstDataRow="1" firstDataCol="1"/>
  <pivotFields count="23">
    <pivotField compact="0" outline="0" showAll="0"/>
    <pivotField compact="0" outline="0" showAll="0"/>
    <pivotField compact="0" outline="0" showAll="0"/>
    <pivotField compact="0" outline="0" showAll="0"/>
    <pivotField axis="axisRow" compact="0" outline="0" showAll="0" sortType="descending">
      <items count="3">
        <item x="1"/>
        <item x="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numFmtId="2" outline="0" showAll="0"/>
    <pivotField compact="0" numFmtId="1" outline="0" showAll="0"/>
    <pivotField compact="0" numFmtId="1" outline="0" showAll="0"/>
    <pivotField compact="0" numFmtId="1" outline="0" showAll="0"/>
    <pivotField compact="0" outline="0" showAll="0"/>
    <pivotField compact="0" numFmtId="165" outline="0" showAll="0"/>
    <pivotField compact="0" numFmtId="1" outline="0" showAll="0"/>
    <pivotField dataField="1" compact="0" numFmtId="1" outline="0" showAll="0"/>
    <pivotField compact="0" numFmtId="165" outline="0" showAll="0"/>
    <pivotField compact="0" numFmtId="10" outline="0" showAll="0"/>
    <pivotField compact="0" numFmtId="10" outline="0" showAll="0"/>
    <pivotField compact="0" numFmtId="2" outline="0" showAll="0"/>
    <pivotField compact="0" numFmtId="10" outline="0" showAll="0"/>
    <pivotField compact="0" outline="0" showAll="0"/>
  </pivotFields>
  <rowFields count="1">
    <field x="4"/>
  </rowFields>
  <rowItems count="3">
    <i>
      <x v="1"/>
    </i>
    <i>
      <x/>
    </i>
    <i t="grand">
      <x/>
    </i>
  </rowItems>
  <colItems count="1">
    <i/>
  </colItems>
  <dataFields count="1">
    <dataField name="Sum of Video Completions" fld="16" baseField="0" baseItem="0" numFmtId="1"/>
  </dataFields>
  <formats count="6">
    <format dxfId="61">
      <pivotArea type="all" dataOnly="0" outline="0" fieldPosition="0"/>
    </format>
    <format dxfId="60">
      <pivotArea outline="0" collapsedLevelsAreSubtotals="1" fieldPosition="0"/>
    </format>
    <format dxfId="59">
      <pivotArea field="4" type="button" dataOnly="0" labelOnly="1" outline="0" axis="axisRow" fieldPosition="0"/>
    </format>
    <format dxfId="58">
      <pivotArea dataOnly="0" labelOnly="1" outline="0" fieldPosition="0">
        <references count="1">
          <reference field="4" count="0"/>
        </references>
      </pivotArea>
    </format>
    <format dxfId="57">
      <pivotArea dataOnly="0" labelOnly="1" grandRow="1" outline="0" fieldPosition="0"/>
    </format>
    <format dxfId="56">
      <pivotArea dataOnly="0" labelOnly="1" outline="0" axis="axisValues" fieldPosition="0"/>
    </format>
  </formats>
  <chartFormats count="3">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4" count="1" selected="0">
            <x v="1"/>
          </reference>
        </references>
      </pivotArea>
    </chartFormat>
    <chartFormat chart="3" format="7">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77262F7-7422-4EEC-9196-C62084A2087A}"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Age Group">
  <location ref="A28:B31" firstHeaderRow="1" firstDataRow="1" firstDataCol="1"/>
  <pivotFields count="21">
    <pivotField showAll="0"/>
    <pivotField showAll="0"/>
    <pivotField showAll="0"/>
    <pivotField axis="axisRow" showAll="0">
      <items count="3">
        <item x="1"/>
        <item x="0"/>
        <item t="default"/>
      </items>
    </pivotField>
    <pivotField showAll="0"/>
    <pivotField showAll="0"/>
    <pivotField showAll="0"/>
    <pivotField numFmtId="2" showAll="0"/>
    <pivotField numFmtId="1" showAll="0"/>
    <pivotField numFmtId="1" showAll="0"/>
    <pivotField numFmtId="1" showAll="0"/>
    <pivotField numFmtId="1" showAll="0"/>
    <pivotField numFmtId="1" showAll="0"/>
    <pivotField numFmtId="1" showAll="0"/>
    <pivotField dataField="1" numFmtId="164" showAll="0"/>
    <pivotField numFmtId="164" showAll="0"/>
    <pivotField numFmtId="164" showAll="0"/>
    <pivotField numFmtId="2" showAll="0"/>
    <pivotField numFmtId="10" showAll="0"/>
    <pivotField numFmtId="10" showAll="0"/>
    <pivotField showAll="0"/>
  </pivotFields>
  <rowFields count="1">
    <field x="3"/>
  </rowFields>
  <rowItems count="3">
    <i>
      <x/>
    </i>
    <i>
      <x v="1"/>
    </i>
    <i t="grand">
      <x/>
    </i>
  </rowItems>
  <colItems count="1">
    <i/>
  </colItems>
  <dataFields count="1">
    <dataField name="Average Engagement Rate" fld="14" subtotal="average" baseField="3" baseItem="0" numFmtId="9"/>
  </dataFields>
  <formats count="7">
    <format dxfId="68">
      <pivotArea outline="0" collapsedLevelsAreSubtotals="1" fieldPosition="0"/>
    </format>
    <format dxfId="67">
      <pivotArea type="all" dataOnly="0" outline="0" fieldPosition="0"/>
    </format>
    <format dxfId="66">
      <pivotArea outline="0" collapsedLevelsAreSubtotals="1" fieldPosition="0"/>
    </format>
    <format dxfId="65">
      <pivotArea field="3" type="button" dataOnly="0" labelOnly="1" outline="0" axis="axisRow" fieldPosition="0"/>
    </format>
    <format dxfId="64">
      <pivotArea dataOnly="0" labelOnly="1" fieldPosition="0">
        <references count="1">
          <reference field="3" count="0"/>
        </references>
      </pivotArea>
    </format>
    <format dxfId="63">
      <pivotArea dataOnly="0" labelOnly="1" grandRow="1" outline="0" fieldPosition="0"/>
    </format>
    <format dxfId="6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E7ED7D20-8F17-4DB0-9916-A4FE4E3868F7}" name="PivotTable6" cacheId="4"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8">
  <location ref="A71:B74" firstHeaderRow="1" firstDataRow="1" firstDataCol="1"/>
  <pivotFields count="23">
    <pivotField compact="0" outline="0" showAll="0"/>
    <pivotField compact="0" outline="0" showAll="0"/>
    <pivotField compact="0" outline="0" showAll="0"/>
    <pivotField compact="0" outline="0" showAll="0"/>
    <pivotField axis="axisRow" compact="0" outline="0" showAll="0" sortType="descending">
      <items count="3">
        <item x="1"/>
        <item x="0"/>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numFmtId="2" outline="0" showAll="0"/>
    <pivotField compact="0" numFmtId="1" outline="0" showAll="0"/>
    <pivotField compact="0" numFmtId="1" outline="0" showAll="0"/>
    <pivotField dataField="1" compact="0" numFmtId="1" outline="0" showAll="0"/>
    <pivotField compact="0" outline="0" showAll="0"/>
    <pivotField compact="0" numFmtId="165" outline="0" showAll="0"/>
    <pivotField compact="0" numFmtId="1" outline="0" showAll="0"/>
    <pivotField compact="0" numFmtId="1" outline="0" showAll="0"/>
    <pivotField compact="0" numFmtId="165" outline="0" showAll="0"/>
    <pivotField compact="0" numFmtId="10" outline="0" showAll="0"/>
    <pivotField compact="0" numFmtId="10" outline="0" showAll="0"/>
    <pivotField compact="0" numFmtId="2" outline="0" showAll="0"/>
    <pivotField compact="0" numFmtId="10" outline="0" showAll="0"/>
    <pivotField compact="0" outline="0" showAll="0"/>
  </pivotFields>
  <rowFields count="1">
    <field x="4"/>
  </rowFields>
  <rowItems count="3">
    <i>
      <x v="1"/>
    </i>
    <i>
      <x/>
    </i>
    <i t="grand">
      <x/>
    </i>
  </rowItems>
  <colItems count="1">
    <i/>
  </colItems>
  <dataFields count="1">
    <dataField name="Sum of Clicks" fld="12" baseField="0" baseItem="0" numFmtId="1"/>
  </dataFields>
  <formats count="6">
    <format dxfId="74">
      <pivotArea type="all" dataOnly="0" outline="0" fieldPosition="0"/>
    </format>
    <format dxfId="73">
      <pivotArea outline="0" collapsedLevelsAreSubtotals="1" fieldPosition="0"/>
    </format>
    <format dxfId="72">
      <pivotArea field="4" type="button" dataOnly="0" labelOnly="1" outline="0" axis="axisRow" fieldPosition="0"/>
    </format>
    <format dxfId="71">
      <pivotArea dataOnly="0" labelOnly="1" outline="0" fieldPosition="0">
        <references count="1">
          <reference field="4" count="0"/>
        </references>
      </pivotArea>
    </format>
    <format dxfId="70">
      <pivotArea dataOnly="0" labelOnly="1" grandRow="1" outline="0" fieldPosition="0"/>
    </format>
    <format dxfId="69">
      <pivotArea dataOnly="0" labelOnly="1" outline="0" axis="axisValues" fieldPosition="0"/>
    </format>
  </formats>
  <chartFormats count="3">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4" count="1" selected="0">
            <x v="1"/>
          </reference>
        </references>
      </pivotArea>
    </chartFormat>
    <chartFormat chart="3" format="7">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10.xml"/><Relationship Id="rId3" Type="http://schemas.openxmlformats.org/officeDocument/2006/relationships/pivotTable" Target="../pivotTables/pivotTable5.xml"/><Relationship Id="rId7" Type="http://schemas.openxmlformats.org/officeDocument/2006/relationships/pivotTable" Target="../pivotTables/pivotTable9.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drawing" Target="../drawings/drawing2.xml"/><Relationship Id="rId5" Type="http://schemas.openxmlformats.org/officeDocument/2006/relationships/pivotTable" Target="../pivotTables/pivotTable7.xml"/><Relationship Id="rId10" Type="http://schemas.openxmlformats.org/officeDocument/2006/relationships/pivotTable" Target="../pivotTables/pivotTable12.xml"/><Relationship Id="rId4" Type="http://schemas.openxmlformats.org/officeDocument/2006/relationships/pivotTable" Target="../pivotTables/pivotTable6.xml"/><Relationship Id="rId9"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1000"/>
  <sheetViews>
    <sheetView zoomScale="99" workbookViewId="0">
      <selection activeCell="C19" sqref="C19"/>
    </sheetView>
  </sheetViews>
  <sheetFormatPr defaultColWidth="14.42578125" defaultRowHeight="15" customHeight="1" x14ac:dyDescent="0.25"/>
  <cols>
    <col min="1" max="1" width="10.42578125" customWidth="1"/>
    <col min="2" max="2" width="27.5703125" customWidth="1"/>
    <col min="3" max="3" width="19.5703125" customWidth="1"/>
    <col min="4" max="4" width="16" customWidth="1"/>
    <col min="5" max="5" width="9.140625" customWidth="1"/>
    <col min="6" max="6" width="8.140625" customWidth="1"/>
    <col min="7" max="7" width="16.7109375" customWidth="1"/>
    <col min="8" max="8" width="20" customWidth="1"/>
    <col min="9" max="10" width="14.42578125" customWidth="1"/>
    <col min="12" max="12" width="16.85546875" customWidth="1"/>
    <col min="13" max="14" width="20.85546875" customWidth="1"/>
    <col min="15" max="16" width="16" customWidth="1"/>
    <col min="19" max="19" width="13.28515625" customWidth="1"/>
    <col min="20" max="20" width="18.140625" customWidth="1"/>
    <col min="21" max="21" width="14.5703125" customWidth="1"/>
    <col min="22" max="27" width="8.7109375" customWidth="1"/>
  </cols>
  <sheetData>
    <row r="1" spans="1:21" x14ac:dyDescent="0.25">
      <c r="A1" s="3" t="s">
        <v>0</v>
      </c>
      <c r="B1" s="3" t="s">
        <v>26</v>
      </c>
      <c r="C1" s="3" t="s">
        <v>2</v>
      </c>
      <c r="D1" s="3" t="s">
        <v>65</v>
      </c>
      <c r="E1" s="3" t="s">
        <v>27</v>
      </c>
      <c r="F1" s="3" t="s">
        <v>4</v>
      </c>
      <c r="G1" s="3" t="s">
        <v>28</v>
      </c>
      <c r="H1" s="3" t="s">
        <v>31</v>
      </c>
      <c r="I1" s="3" t="s">
        <v>30</v>
      </c>
      <c r="J1" s="3" t="s">
        <v>29</v>
      </c>
      <c r="K1" s="33" t="s">
        <v>6</v>
      </c>
      <c r="L1" s="3" t="s">
        <v>70</v>
      </c>
      <c r="M1" s="3" t="s">
        <v>94</v>
      </c>
      <c r="N1" s="3" t="s">
        <v>10</v>
      </c>
      <c r="O1" s="3" t="s">
        <v>13</v>
      </c>
      <c r="P1" s="3" t="s">
        <v>100</v>
      </c>
      <c r="Q1" s="3" t="s">
        <v>12</v>
      </c>
      <c r="R1" s="3" t="s">
        <v>8</v>
      </c>
      <c r="S1" s="8" t="s">
        <v>7</v>
      </c>
      <c r="T1" s="3" t="s">
        <v>66</v>
      </c>
      <c r="U1" s="3" t="s">
        <v>69</v>
      </c>
    </row>
    <row r="2" spans="1:21" x14ac:dyDescent="0.25">
      <c r="A2" t="s">
        <v>25</v>
      </c>
      <c r="B2" t="s">
        <v>61</v>
      </c>
      <c r="C2" t="s">
        <v>15</v>
      </c>
      <c r="D2" t="s">
        <v>67</v>
      </c>
      <c r="E2" t="s">
        <v>16</v>
      </c>
      <c r="F2" t="s">
        <v>17</v>
      </c>
      <c r="G2" t="s">
        <v>33</v>
      </c>
      <c r="H2" s="1">
        <v>3456.8</v>
      </c>
      <c r="I2" s="2">
        <v>4425926</v>
      </c>
      <c r="J2" s="2">
        <v>1130502</v>
      </c>
      <c r="K2" s="2">
        <v>20100</v>
      </c>
      <c r="L2" s="2">
        <v>785957</v>
      </c>
      <c r="M2" s="2">
        <v>784825</v>
      </c>
      <c r="N2" s="2">
        <v>9827</v>
      </c>
      <c r="O2" s="41">
        <v>0.17758024</v>
      </c>
      <c r="P2" s="6">
        <f>M2/I2</f>
        <v>0.17732447401967408</v>
      </c>
      <c r="Q2" s="6">
        <v>0.17732447401967408</v>
      </c>
      <c r="R2" s="32">
        <v>0.78103429655172729</v>
      </c>
      <c r="S2" s="7">
        <v>4.5414225181351882E-3</v>
      </c>
      <c r="T2" s="7">
        <v>1.777971202173902E-2</v>
      </c>
      <c r="U2" t="s">
        <v>73</v>
      </c>
    </row>
    <row r="3" spans="1:21" x14ac:dyDescent="0.25">
      <c r="A3" t="s">
        <v>25</v>
      </c>
      <c r="B3" t="s">
        <v>61</v>
      </c>
      <c r="C3" t="s">
        <v>15</v>
      </c>
      <c r="D3" t="s">
        <v>67</v>
      </c>
      <c r="E3" t="s">
        <v>16</v>
      </c>
      <c r="F3" t="s">
        <v>17</v>
      </c>
      <c r="G3" t="s">
        <v>33</v>
      </c>
      <c r="H3" s="1">
        <v>3220.18</v>
      </c>
      <c r="I3" s="2">
        <v>4652907</v>
      </c>
      <c r="J3" s="2">
        <v>1314825</v>
      </c>
      <c r="K3" s="2">
        <v>21330</v>
      </c>
      <c r="L3" s="2">
        <v>659371</v>
      </c>
      <c r="M3" s="2">
        <v>646948</v>
      </c>
      <c r="N3" s="2">
        <v>16916</v>
      </c>
      <c r="O3" s="41">
        <v>0.14171162000000001</v>
      </c>
      <c r="P3" s="6">
        <f t="shared" ref="P3:P66" si="0">M3/I3</f>
        <v>0.13904167867528838</v>
      </c>
      <c r="Q3" s="6">
        <v>0.13904167867528838</v>
      </c>
      <c r="R3" s="32">
        <v>0.69207916685203463</v>
      </c>
      <c r="S3" s="7">
        <v>4.5842308904949104E-3</v>
      </c>
      <c r="T3" s="7">
        <v>1.6222691232673551E-2</v>
      </c>
      <c r="U3" t="s">
        <v>73</v>
      </c>
    </row>
    <row r="4" spans="1:21" x14ac:dyDescent="0.25">
      <c r="A4" t="s">
        <v>25</v>
      </c>
      <c r="B4" t="s">
        <v>61</v>
      </c>
      <c r="C4" t="s">
        <v>15</v>
      </c>
      <c r="D4" t="s">
        <v>67</v>
      </c>
      <c r="E4" t="s">
        <v>16</v>
      </c>
      <c r="F4" t="s">
        <v>17</v>
      </c>
      <c r="G4" t="s">
        <v>33</v>
      </c>
      <c r="H4" s="1">
        <v>1284.27</v>
      </c>
      <c r="I4" s="2">
        <v>2811919</v>
      </c>
      <c r="J4" s="2">
        <v>722421</v>
      </c>
      <c r="K4" s="2">
        <v>11713</v>
      </c>
      <c r="L4" s="2">
        <v>175728</v>
      </c>
      <c r="M4" s="2">
        <v>174581</v>
      </c>
      <c r="N4" s="2">
        <v>6051</v>
      </c>
      <c r="O4" s="41">
        <v>6.2493979999999998E-2</v>
      </c>
      <c r="P4" s="6">
        <f t="shared" si="0"/>
        <v>6.2086070046825675E-2</v>
      </c>
      <c r="Q4" s="6">
        <v>6.2086070046825675E-2</v>
      </c>
      <c r="R4" s="32">
        <v>0.45672368229668064</v>
      </c>
      <c r="S4" s="7">
        <v>4.1654827183855584E-3</v>
      </c>
      <c r="T4" s="7">
        <v>1.621353753559213E-2</v>
      </c>
      <c r="U4" t="s">
        <v>73</v>
      </c>
    </row>
    <row r="5" spans="1:21" x14ac:dyDescent="0.25">
      <c r="A5" t="s">
        <v>25</v>
      </c>
      <c r="B5" t="s">
        <v>61</v>
      </c>
      <c r="C5" t="s">
        <v>15</v>
      </c>
      <c r="D5" t="s">
        <v>67</v>
      </c>
      <c r="E5" t="s">
        <v>16</v>
      </c>
      <c r="F5" t="s">
        <v>17</v>
      </c>
      <c r="G5" t="s">
        <v>34</v>
      </c>
      <c r="H5" s="1">
        <v>1178.72</v>
      </c>
      <c r="I5" s="2">
        <v>2522528</v>
      </c>
      <c r="J5" s="2">
        <v>671730</v>
      </c>
      <c r="K5" s="2">
        <v>10794</v>
      </c>
      <c r="L5" s="2">
        <v>104231</v>
      </c>
      <c r="M5" s="2">
        <v>103885</v>
      </c>
      <c r="N5" s="2">
        <v>4540</v>
      </c>
      <c r="O5" s="41">
        <v>4.1320059999999999E-2</v>
      </c>
      <c r="P5" s="6">
        <f t="shared" si="0"/>
        <v>4.1182892717147243E-2</v>
      </c>
      <c r="Q5" s="6">
        <v>4.1182892717147243E-2</v>
      </c>
      <c r="R5" s="32">
        <v>0.46727727105506855</v>
      </c>
      <c r="S5" s="7">
        <v>4.2790407083687478E-3</v>
      </c>
      <c r="T5" s="7">
        <v>1.6068956277075611E-2</v>
      </c>
      <c r="U5" t="s">
        <v>73</v>
      </c>
    </row>
    <row r="6" spans="1:21" x14ac:dyDescent="0.25">
      <c r="A6" t="s">
        <v>25</v>
      </c>
      <c r="B6" t="s">
        <v>61</v>
      </c>
      <c r="C6" t="s">
        <v>15</v>
      </c>
      <c r="D6" t="s">
        <v>67</v>
      </c>
      <c r="E6" t="s">
        <v>20</v>
      </c>
      <c r="F6" t="s">
        <v>40</v>
      </c>
      <c r="G6" t="s">
        <v>34</v>
      </c>
      <c r="H6" s="1">
        <v>1042.46</v>
      </c>
      <c r="I6" s="2">
        <v>2684060</v>
      </c>
      <c r="J6" s="2">
        <v>878461</v>
      </c>
      <c r="K6" s="2">
        <v>7019</v>
      </c>
      <c r="L6" s="2">
        <v>4587</v>
      </c>
      <c r="M6" s="2">
        <v>0</v>
      </c>
      <c r="N6" s="2">
        <v>0</v>
      </c>
      <c r="O6" s="41">
        <v>1.7089799999999999E-3</v>
      </c>
      <c r="P6" s="6">
        <f t="shared" si="0"/>
        <v>0</v>
      </c>
      <c r="Q6" s="6">
        <v>0</v>
      </c>
      <c r="R6" s="32">
        <v>0.38838923123924207</v>
      </c>
      <c r="S6" s="7">
        <v>2.6150682175510235E-3</v>
      </c>
      <c r="T6" s="7">
        <v>7.9901099764246794E-3</v>
      </c>
      <c r="U6" t="s">
        <v>73</v>
      </c>
    </row>
    <row r="7" spans="1:21" x14ac:dyDescent="0.25">
      <c r="A7" t="s">
        <v>25</v>
      </c>
      <c r="B7" t="s">
        <v>61</v>
      </c>
      <c r="C7" t="s">
        <v>38</v>
      </c>
      <c r="D7" t="s">
        <v>68</v>
      </c>
      <c r="E7" t="s">
        <v>16</v>
      </c>
      <c r="F7" t="s">
        <v>17</v>
      </c>
      <c r="G7" t="s">
        <v>33</v>
      </c>
      <c r="H7" s="1">
        <v>735.77</v>
      </c>
      <c r="I7" s="2">
        <v>802794</v>
      </c>
      <c r="J7" s="2">
        <v>277058</v>
      </c>
      <c r="K7" s="2">
        <v>3171</v>
      </c>
      <c r="L7" s="2">
        <v>165518</v>
      </c>
      <c r="M7" s="2">
        <v>165404</v>
      </c>
      <c r="N7" s="2">
        <v>2028</v>
      </c>
      <c r="O7" s="41">
        <v>0.20617742999999999</v>
      </c>
      <c r="P7" s="6">
        <f t="shared" si="0"/>
        <v>0.20603542129114069</v>
      </c>
      <c r="Q7" s="6">
        <v>0.20603542129114069</v>
      </c>
      <c r="R7" s="32">
        <v>0.91651158329534099</v>
      </c>
      <c r="S7" s="7">
        <v>3.9499547829206496E-3</v>
      </c>
      <c r="T7" s="7">
        <v>1.144525694980834E-2</v>
      </c>
      <c r="U7" t="s">
        <v>73</v>
      </c>
    </row>
    <row r="8" spans="1:21" x14ac:dyDescent="0.25">
      <c r="A8" t="s">
        <v>25</v>
      </c>
      <c r="B8" t="s">
        <v>61</v>
      </c>
      <c r="C8" t="s">
        <v>15</v>
      </c>
      <c r="D8" t="s">
        <v>67</v>
      </c>
      <c r="E8" t="s">
        <v>16</v>
      </c>
      <c r="F8" t="s">
        <v>40</v>
      </c>
      <c r="G8" t="s">
        <v>34</v>
      </c>
      <c r="H8" s="1">
        <v>637.48</v>
      </c>
      <c r="I8" s="2">
        <v>1547845</v>
      </c>
      <c r="J8" s="2">
        <v>564092</v>
      </c>
      <c r="K8" s="2">
        <v>4359</v>
      </c>
      <c r="L8" s="2">
        <v>2913</v>
      </c>
      <c r="M8" s="2">
        <v>0</v>
      </c>
      <c r="N8" s="2">
        <v>0</v>
      </c>
      <c r="O8" s="41">
        <v>1.88197E-3</v>
      </c>
      <c r="P8" s="6">
        <f t="shared" si="0"/>
        <v>0</v>
      </c>
      <c r="Q8" s="6">
        <v>0</v>
      </c>
      <c r="R8" s="32">
        <v>0.41185002374268742</v>
      </c>
      <c r="S8" s="7">
        <v>2.8161734540603227E-3</v>
      </c>
      <c r="T8" s="7">
        <v>7.7274628961233266E-3</v>
      </c>
      <c r="U8" t="s">
        <v>73</v>
      </c>
    </row>
    <row r="9" spans="1:21" x14ac:dyDescent="0.25">
      <c r="A9" t="s">
        <v>25</v>
      </c>
      <c r="B9" t="s">
        <v>61</v>
      </c>
      <c r="C9" t="s">
        <v>15</v>
      </c>
      <c r="D9" t="s">
        <v>67</v>
      </c>
      <c r="E9" t="s">
        <v>16</v>
      </c>
      <c r="F9" t="s">
        <v>17</v>
      </c>
      <c r="G9" t="s">
        <v>34</v>
      </c>
      <c r="H9" s="1">
        <v>458.83</v>
      </c>
      <c r="I9" s="2">
        <v>976049</v>
      </c>
      <c r="J9" s="2">
        <v>372537</v>
      </c>
      <c r="K9" s="2">
        <v>3650</v>
      </c>
      <c r="L9" s="2">
        <v>35410</v>
      </c>
      <c r="M9" s="2">
        <v>35111</v>
      </c>
      <c r="N9" s="2">
        <v>1271</v>
      </c>
      <c r="O9" s="41">
        <v>3.6278919999999999E-2</v>
      </c>
      <c r="P9" s="6">
        <f t="shared" si="0"/>
        <v>3.5972579245509194E-2</v>
      </c>
      <c r="Q9" s="6">
        <v>3.5972579245509194E-2</v>
      </c>
      <c r="R9" s="32">
        <v>0.47008910413309202</v>
      </c>
      <c r="S9" s="7">
        <v>3.7395663537383881E-3</v>
      </c>
      <c r="T9" s="7">
        <v>9.7976845252954747E-3</v>
      </c>
      <c r="U9" t="s">
        <v>73</v>
      </c>
    </row>
    <row r="10" spans="1:21" x14ac:dyDescent="0.25">
      <c r="A10" t="s">
        <v>25</v>
      </c>
      <c r="B10" t="s">
        <v>61</v>
      </c>
      <c r="C10" t="s">
        <v>15</v>
      </c>
      <c r="D10" t="s">
        <v>67</v>
      </c>
      <c r="E10" t="s">
        <v>16</v>
      </c>
      <c r="F10" t="s">
        <v>40</v>
      </c>
      <c r="G10" t="s">
        <v>34</v>
      </c>
      <c r="H10" s="1">
        <v>279.02999999999997</v>
      </c>
      <c r="I10" s="2">
        <v>590534</v>
      </c>
      <c r="J10" s="2">
        <v>274687</v>
      </c>
      <c r="K10" s="2">
        <v>1373</v>
      </c>
      <c r="L10" s="2">
        <v>899</v>
      </c>
      <c r="M10" s="2">
        <v>0</v>
      </c>
      <c r="N10" s="2">
        <v>0</v>
      </c>
      <c r="O10" s="41">
        <v>1.52235E-3</v>
      </c>
      <c r="P10" s="6">
        <f t="shared" si="0"/>
        <v>0</v>
      </c>
      <c r="Q10" s="6">
        <v>0</v>
      </c>
      <c r="R10" s="32">
        <v>0.4725045467322796</v>
      </c>
      <c r="S10" s="7">
        <v>2.3250143090829656E-3</v>
      </c>
      <c r="T10" s="7">
        <v>4.9984163793699741E-3</v>
      </c>
      <c r="U10" t="s">
        <v>73</v>
      </c>
    </row>
    <row r="11" spans="1:21" x14ac:dyDescent="0.25">
      <c r="A11" t="s">
        <v>25</v>
      </c>
      <c r="B11" t="s">
        <v>61</v>
      </c>
      <c r="C11" t="s">
        <v>38</v>
      </c>
      <c r="D11" t="s">
        <v>68</v>
      </c>
      <c r="E11" t="s">
        <v>20</v>
      </c>
      <c r="F11" t="s">
        <v>40</v>
      </c>
      <c r="G11" t="s">
        <v>34</v>
      </c>
      <c r="H11" s="1">
        <v>195.9</v>
      </c>
      <c r="I11" s="2">
        <v>449694</v>
      </c>
      <c r="J11" s="2">
        <v>180510</v>
      </c>
      <c r="K11" s="2">
        <v>1077</v>
      </c>
      <c r="L11" s="2">
        <v>671</v>
      </c>
      <c r="M11" s="2">
        <v>0</v>
      </c>
      <c r="N11" s="2">
        <v>0</v>
      </c>
      <c r="O11" s="41">
        <v>1.4921299999999999E-3</v>
      </c>
      <c r="P11" s="6">
        <f t="shared" si="0"/>
        <v>0</v>
      </c>
      <c r="Q11" s="6">
        <v>0</v>
      </c>
      <c r="R11" s="32">
        <v>0.43562956143510922</v>
      </c>
      <c r="S11" s="7">
        <v>2.3949619074303862E-3</v>
      </c>
      <c r="T11" s="7">
        <v>5.9664284527173013E-3</v>
      </c>
      <c r="U11" t="s">
        <v>73</v>
      </c>
    </row>
    <row r="12" spans="1:21" x14ac:dyDescent="0.25">
      <c r="A12" t="s">
        <v>25</v>
      </c>
      <c r="B12" t="s">
        <v>61</v>
      </c>
      <c r="C12" t="s">
        <v>15</v>
      </c>
      <c r="D12" t="s">
        <v>67</v>
      </c>
      <c r="E12" t="s">
        <v>16</v>
      </c>
      <c r="F12" t="s">
        <v>17</v>
      </c>
      <c r="G12" t="s">
        <v>33</v>
      </c>
      <c r="H12" s="1">
        <v>190.97</v>
      </c>
      <c r="I12" s="2">
        <v>412121</v>
      </c>
      <c r="J12" s="2">
        <v>155968</v>
      </c>
      <c r="K12" s="2">
        <v>1420</v>
      </c>
      <c r="L12" s="2">
        <v>15440</v>
      </c>
      <c r="M12" s="2">
        <v>15250</v>
      </c>
      <c r="N12" s="2">
        <v>482</v>
      </c>
      <c r="O12" s="41">
        <v>3.7464730000000002E-2</v>
      </c>
      <c r="P12" s="6">
        <f t="shared" si="0"/>
        <v>3.7003695516607989E-2</v>
      </c>
      <c r="Q12" s="6">
        <v>3.7003695516607989E-2</v>
      </c>
      <c r="R12" s="32">
        <v>0.46338332674141813</v>
      </c>
      <c r="S12" s="7">
        <v>3.4455900087595635E-3</v>
      </c>
      <c r="T12" s="7">
        <v>9.1044316782929839E-3</v>
      </c>
      <c r="U12" t="s">
        <v>73</v>
      </c>
    </row>
    <row r="13" spans="1:21" x14ac:dyDescent="0.25">
      <c r="A13" t="s">
        <v>25</v>
      </c>
      <c r="B13" t="s">
        <v>61</v>
      </c>
      <c r="C13" t="s">
        <v>15</v>
      </c>
      <c r="D13" t="s">
        <v>67</v>
      </c>
      <c r="E13" t="s">
        <v>20</v>
      </c>
      <c r="F13" t="s">
        <v>17</v>
      </c>
      <c r="G13" t="s">
        <v>34</v>
      </c>
      <c r="H13" s="1">
        <v>117.06</v>
      </c>
      <c r="I13" s="2">
        <v>61132</v>
      </c>
      <c r="J13" s="2">
        <v>41647</v>
      </c>
      <c r="K13" s="2">
        <v>356</v>
      </c>
      <c r="L13" s="2">
        <v>47914</v>
      </c>
      <c r="M13" s="2">
        <v>47586</v>
      </c>
      <c r="N13" s="2">
        <v>83</v>
      </c>
      <c r="O13" s="41">
        <v>0.78377936000000004</v>
      </c>
      <c r="P13" s="6">
        <f t="shared" si="0"/>
        <v>0.7784139239678074</v>
      </c>
      <c r="Q13" s="6">
        <v>0.7784139239678074</v>
      </c>
      <c r="R13" s="32">
        <v>1.9148727344107832</v>
      </c>
      <c r="S13" s="7">
        <v>5.8234639795851596E-3</v>
      </c>
      <c r="T13" s="7">
        <v>8.5480346723653556E-3</v>
      </c>
      <c r="U13" t="s">
        <v>73</v>
      </c>
    </row>
    <row r="14" spans="1:21" x14ac:dyDescent="0.25">
      <c r="A14" t="s">
        <v>25</v>
      </c>
      <c r="B14" t="s">
        <v>61</v>
      </c>
      <c r="C14" t="s">
        <v>15</v>
      </c>
      <c r="D14" t="s">
        <v>67</v>
      </c>
      <c r="E14" t="s">
        <v>20</v>
      </c>
      <c r="F14" t="s">
        <v>17</v>
      </c>
      <c r="G14" t="s">
        <v>34</v>
      </c>
      <c r="H14" s="1">
        <v>113.35</v>
      </c>
      <c r="I14" s="2">
        <v>259216</v>
      </c>
      <c r="J14" s="2">
        <v>142810</v>
      </c>
      <c r="K14" s="2">
        <v>915</v>
      </c>
      <c r="L14" s="2">
        <v>7616</v>
      </c>
      <c r="M14" s="2">
        <v>7164</v>
      </c>
      <c r="N14" s="2">
        <v>236</v>
      </c>
      <c r="O14" s="41">
        <v>2.9380900000000001E-2</v>
      </c>
      <c r="P14" s="6">
        <f t="shared" si="0"/>
        <v>2.7637182889945065E-2</v>
      </c>
      <c r="Q14" s="6">
        <v>2.7637182889945065E-2</v>
      </c>
      <c r="R14" s="32">
        <v>0.43728010616628599</v>
      </c>
      <c r="S14" s="7">
        <v>3.5298746990926485E-3</v>
      </c>
      <c r="T14" s="7">
        <v>6.4071143477347527E-3</v>
      </c>
      <c r="U14" t="s">
        <v>73</v>
      </c>
    </row>
    <row r="15" spans="1:21" x14ac:dyDescent="0.25">
      <c r="A15" t="s">
        <v>25</v>
      </c>
      <c r="B15" t="s">
        <v>61</v>
      </c>
      <c r="C15" t="s">
        <v>38</v>
      </c>
      <c r="D15" t="s">
        <v>68</v>
      </c>
      <c r="E15" t="s">
        <v>20</v>
      </c>
      <c r="F15" t="s">
        <v>17</v>
      </c>
      <c r="G15" t="s">
        <v>33</v>
      </c>
      <c r="H15" s="1">
        <v>101.08</v>
      </c>
      <c r="I15" s="2">
        <v>232315</v>
      </c>
      <c r="J15" s="2">
        <v>85118</v>
      </c>
      <c r="K15" s="2">
        <v>891</v>
      </c>
      <c r="L15" s="2">
        <v>11599</v>
      </c>
      <c r="M15" s="2">
        <v>11528</v>
      </c>
      <c r="N15" s="2">
        <v>580</v>
      </c>
      <c r="O15" s="41">
        <v>4.9927899999999997E-2</v>
      </c>
      <c r="P15" s="6">
        <f t="shared" si="0"/>
        <v>4.9622280093838109E-2</v>
      </c>
      <c r="Q15" s="6">
        <v>4.9622280093838109E-2</v>
      </c>
      <c r="R15" s="32">
        <v>0.43509889589565892</v>
      </c>
      <c r="S15" s="7">
        <v>3.8353098164130598E-3</v>
      </c>
      <c r="T15" s="7">
        <v>1.046782114241406E-2</v>
      </c>
      <c r="U15" t="s">
        <v>73</v>
      </c>
    </row>
    <row r="16" spans="1:21" x14ac:dyDescent="0.25">
      <c r="A16" t="s">
        <v>25</v>
      </c>
      <c r="B16" t="s">
        <v>61</v>
      </c>
      <c r="C16" t="s">
        <v>15</v>
      </c>
      <c r="D16" t="s">
        <v>67</v>
      </c>
      <c r="E16" t="s">
        <v>16</v>
      </c>
      <c r="F16" t="s">
        <v>17</v>
      </c>
      <c r="G16" t="s">
        <v>33</v>
      </c>
      <c r="H16" s="1">
        <v>100.47</v>
      </c>
      <c r="I16" s="2">
        <v>219372</v>
      </c>
      <c r="J16" s="2">
        <v>123660</v>
      </c>
      <c r="K16" s="2">
        <v>868</v>
      </c>
      <c r="L16" s="2">
        <v>12352</v>
      </c>
      <c r="M16" s="2">
        <v>12310</v>
      </c>
      <c r="N16" s="2">
        <v>264</v>
      </c>
      <c r="O16" s="41">
        <v>5.6306179999999997E-2</v>
      </c>
      <c r="P16" s="6">
        <f t="shared" si="0"/>
        <v>5.6114727494848936E-2</v>
      </c>
      <c r="Q16" s="6">
        <v>5.6114727494848936E-2</v>
      </c>
      <c r="R16" s="32">
        <v>0.45798916908265414</v>
      </c>
      <c r="S16" s="7">
        <v>3.9567492660868295E-3</v>
      </c>
      <c r="T16" s="7">
        <v>7.0192463205563643E-3</v>
      </c>
      <c r="U16" t="s">
        <v>73</v>
      </c>
    </row>
    <row r="17" spans="1:21" x14ac:dyDescent="0.25">
      <c r="A17" t="s">
        <v>25</v>
      </c>
      <c r="B17" t="s">
        <v>61</v>
      </c>
      <c r="C17" t="s">
        <v>15</v>
      </c>
      <c r="D17" t="s">
        <v>67</v>
      </c>
      <c r="E17" t="s">
        <v>20</v>
      </c>
      <c r="F17" t="s">
        <v>17</v>
      </c>
      <c r="G17" t="s">
        <v>34</v>
      </c>
      <c r="H17" s="1">
        <v>94.43</v>
      </c>
      <c r="I17" s="2">
        <v>197582</v>
      </c>
      <c r="J17" s="2">
        <v>89901</v>
      </c>
      <c r="K17" s="2">
        <v>422</v>
      </c>
      <c r="L17" s="2">
        <v>3432</v>
      </c>
      <c r="M17" s="2">
        <v>3422</v>
      </c>
      <c r="N17" s="2">
        <v>2974</v>
      </c>
      <c r="O17" s="41">
        <v>1.737E-2</v>
      </c>
      <c r="P17" s="6">
        <f t="shared" si="0"/>
        <v>1.7319391442540313E-2</v>
      </c>
      <c r="Q17" s="6">
        <v>1.7319391442540313E-2</v>
      </c>
      <c r="R17" s="32">
        <v>0.47792815134981936</v>
      </c>
      <c r="S17" s="7">
        <v>2.1358220890566955E-3</v>
      </c>
      <c r="T17" s="7">
        <v>4.6940523464700061E-3</v>
      </c>
      <c r="U17" t="s">
        <v>73</v>
      </c>
    </row>
    <row r="18" spans="1:21" x14ac:dyDescent="0.25">
      <c r="A18" t="s">
        <v>25</v>
      </c>
      <c r="B18" t="s">
        <v>61</v>
      </c>
      <c r="C18" t="s">
        <v>38</v>
      </c>
      <c r="D18" t="s">
        <v>68</v>
      </c>
      <c r="E18" t="s">
        <v>16</v>
      </c>
      <c r="F18" t="s">
        <v>40</v>
      </c>
      <c r="G18" t="s">
        <v>34</v>
      </c>
      <c r="H18" s="1">
        <v>90.35</v>
      </c>
      <c r="I18" s="2">
        <v>202377</v>
      </c>
      <c r="J18" s="2">
        <v>100097</v>
      </c>
      <c r="K18" s="2">
        <v>536</v>
      </c>
      <c r="L18" s="2">
        <v>351</v>
      </c>
      <c r="M18" s="2">
        <v>0</v>
      </c>
      <c r="N18" s="2">
        <v>0</v>
      </c>
      <c r="O18" s="41">
        <v>1.7343899999999999E-3</v>
      </c>
      <c r="P18" s="6">
        <f t="shared" si="0"/>
        <v>0</v>
      </c>
      <c r="Q18" s="6">
        <v>0</v>
      </c>
      <c r="R18" s="32">
        <v>0.44644401290660496</v>
      </c>
      <c r="S18" s="7">
        <v>2.6485223123180993E-3</v>
      </c>
      <c r="T18" s="7">
        <v>5.354805838336813E-3</v>
      </c>
      <c r="U18" t="s">
        <v>73</v>
      </c>
    </row>
    <row r="19" spans="1:21" x14ac:dyDescent="0.25">
      <c r="A19" t="s">
        <v>25</v>
      </c>
      <c r="B19" t="s">
        <v>61</v>
      </c>
      <c r="C19" t="s">
        <v>15</v>
      </c>
      <c r="D19" t="s">
        <v>67</v>
      </c>
      <c r="E19" t="s">
        <v>16</v>
      </c>
      <c r="F19" t="s">
        <v>40</v>
      </c>
      <c r="G19" t="s">
        <v>34</v>
      </c>
      <c r="H19" s="1">
        <v>90.03</v>
      </c>
      <c r="I19" s="2">
        <v>198163</v>
      </c>
      <c r="J19" s="2">
        <v>98974</v>
      </c>
      <c r="K19" s="2">
        <v>533</v>
      </c>
      <c r="L19" s="2">
        <v>347</v>
      </c>
      <c r="M19" s="2">
        <v>0</v>
      </c>
      <c r="N19" s="2">
        <v>0</v>
      </c>
      <c r="O19" s="41">
        <v>1.7510799999999999E-3</v>
      </c>
      <c r="P19" s="6">
        <f t="shared" si="0"/>
        <v>0</v>
      </c>
      <c r="Q19" s="6">
        <v>0</v>
      </c>
      <c r="R19" s="32">
        <v>0.45432295635411257</v>
      </c>
      <c r="S19" s="7">
        <v>2.6897049398727311E-3</v>
      </c>
      <c r="T19" s="7">
        <v>5.3852526926263461E-3</v>
      </c>
      <c r="U19" t="s">
        <v>73</v>
      </c>
    </row>
    <row r="20" spans="1:21" x14ac:dyDescent="0.25">
      <c r="A20" t="s">
        <v>25</v>
      </c>
      <c r="B20" t="s">
        <v>61</v>
      </c>
      <c r="C20" t="s">
        <v>15</v>
      </c>
      <c r="D20" t="s">
        <v>67</v>
      </c>
      <c r="E20" t="s">
        <v>20</v>
      </c>
      <c r="F20" t="s">
        <v>17</v>
      </c>
      <c r="G20" t="s">
        <v>33</v>
      </c>
      <c r="H20" s="1">
        <v>87.57</v>
      </c>
      <c r="I20" s="2">
        <v>117572</v>
      </c>
      <c r="J20" s="2">
        <v>66674</v>
      </c>
      <c r="K20" s="2">
        <v>431</v>
      </c>
      <c r="L20" s="2">
        <v>20633</v>
      </c>
      <c r="M20" s="2">
        <v>20385</v>
      </c>
      <c r="N20" s="2">
        <v>491</v>
      </c>
      <c r="O20" s="41">
        <v>0.17549245999999999</v>
      </c>
      <c r="P20" s="6">
        <f t="shared" si="0"/>
        <v>0.17338311842955806</v>
      </c>
      <c r="Q20" s="6">
        <v>0.17338311842955806</v>
      </c>
      <c r="R20" s="32">
        <v>0.74482019528459154</v>
      </c>
      <c r="S20" s="7">
        <v>3.6658388051576908E-3</v>
      </c>
      <c r="T20" s="7">
        <v>6.4642889282178961E-3</v>
      </c>
      <c r="U20" t="s">
        <v>73</v>
      </c>
    </row>
    <row r="21" spans="1:21" ht="15.75" customHeight="1" x14ac:dyDescent="0.25">
      <c r="A21" t="s">
        <v>25</v>
      </c>
      <c r="B21" t="s">
        <v>61</v>
      </c>
      <c r="C21" t="s">
        <v>15</v>
      </c>
      <c r="D21" t="s">
        <v>67</v>
      </c>
      <c r="E21" t="s">
        <v>20</v>
      </c>
      <c r="F21" t="s">
        <v>17</v>
      </c>
      <c r="G21" t="s">
        <v>33</v>
      </c>
      <c r="H21" s="1">
        <v>85.96</v>
      </c>
      <c r="I21" s="2">
        <v>202733</v>
      </c>
      <c r="J21" s="2">
        <v>112957</v>
      </c>
      <c r="K21" s="2">
        <v>576</v>
      </c>
      <c r="L21" s="2">
        <v>8479</v>
      </c>
      <c r="M21" s="2">
        <v>8255</v>
      </c>
      <c r="N21" s="2">
        <v>244</v>
      </c>
      <c r="O21" s="41">
        <v>4.1823480000000003E-2</v>
      </c>
      <c r="P21" s="6">
        <f t="shared" si="0"/>
        <v>4.0718580596153561E-2</v>
      </c>
      <c r="Q21" s="6">
        <v>4.0718580596153561E-2</v>
      </c>
      <c r="R21" s="32">
        <v>0.42400595857605811</v>
      </c>
      <c r="S21" s="7">
        <v>2.8411753389926651E-3</v>
      </c>
      <c r="T21" s="7">
        <v>5.0992855688447806E-3</v>
      </c>
      <c r="U21" t="s">
        <v>73</v>
      </c>
    </row>
    <row r="22" spans="1:21" ht="15.75" customHeight="1" x14ac:dyDescent="0.25">
      <c r="A22" t="s">
        <v>25</v>
      </c>
      <c r="B22" t="s">
        <v>61</v>
      </c>
      <c r="C22" t="s">
        <v>15</v>
      </c>
      <c r="D22" t="s">
        <v>67</v>
      </c>
      <c r="E22" t="s">
        <v>16</v>
      </c>
      <c r="F22" t="s">
        <v>17</v>
      </c>
      <c r="G22" t="s">
        <v>34</v>
      </c>
      <c r="H22" s="1">
        <v>82.1</v>
      </c>
      <c r="I22" s="2">
        <v>89510</v>
      </c>
      <c r="J22" s="2">
        <v>39760</v>
      </c>
      <c r="K22" s="2">
        <v>442</v>
      </c>
      <c r="L22" s="2">
        <v>18371</v>
      </c>
      <c r="M22" s="2">
        <v>18130</v>
      </c>
      <c r="N22" s="2">
        <v>423</v>
      </c>
      <c r="O22" s="41">
        <v>0.20523964</v>
      </c>
      <c r="P22" s="6">
        <f t="shared" si="0"/>
        <v>0.20254720143000782</v>
      </c>
      <c r="Q22" s="6">
        <v>0.20254720143000782</v>
      </c>
      <c r="R22" s="32">
        <v>0.91721595352474583</v>
      </c>
      <c r="S22" s="7">
        <v>4.937995754664283E-3</v>
      </c>
      <c r="T22" s="7">
        <v>1.111670020120724E-2</v>
      </c>
      <c r="U22" t="s">
        <v>73</v>
      </c>
    </row>
    <row r="23" spans="1:21" ht="15.75" customHeight="1" x14ac:dyDescent="0.25">
      <c r="A23" t="s">
        <v>25</v>
      </c>
      <c r="B23" t="s">
        <v>61</v>
      </c>
      <c r="C23" t="s">
        <v>15</v>
      </c>
      <c r="D23" t="s">
        <v>67</v>
      </c>
      <c r="E23" t="s">
        <v>16</v>
      </c>
      <c r="F23" t="s">
        <v>17</v>
      </c>
      <c r="G23" t="s">
        <v>34</v>
      </c>
      <c r="H23" s="1">
        <v>69.31</v>
      </c>
      <c r="I23" s="2">
        <v>149795</v>
      </c>
      <c r="J23" s="2">
        <v>85233</v>
      </c>
      <c r="K23" s="2">
        <v>456</v>
      </c>
      <c r="L23" s="2">
        <v>4250</v>
      </c>
      <c r="M23" s="2">
        <v>4178</v>
      </c>
      <c r="N23" s="2">
        <v>103</v>
      </c>
      <c r="O23" s="41">
        <v>2.8372109999999999E-2</v>
      </c>
      <c r="P23" s="6">
        <f t="shared" si="0"/>
        <v>2.7891451650589139E-2</v>
      </c>
      <c r="Q23" s="6">
        <v>2.7891451650589139E-2</v>
      </c>
      <c r="R23" s="32">
        <v>0.46269902199672891</v>
      </c>
      <c r="S23" s="7">
        <v>3.044160352481725E-3</v>
      </c>
      <c r="T23" s="7">
        <v>5.3500404772799269E-3</v>
      </c>
      <c r="U23" t="s">
        <v>73</v>
      </c>
    </row>
    <row r="24" spans="1:21" ht="15.75" customHeight="1" x14ac:dyDescent="0.25">
      <c r="A24" t="s">
        <v>25</v>
      </c>
      <c r="B24" t="s">
        <v>61</v>
      </c>
      <c r="C24" t="s">
        <v>15</v>
      </c>
      <c r="D24" t="s">
        <v>67</v>
      </c>
      <c r="E24" t="s">
        <v>20</v>
      </c>
      <c r="F24" t="s">
        <v>17</v>
      </c>
      <c r="G24" t="s">
        <v>33</v>
      </c>
      <c r="H24" s="1">
        <v>68</v>
      </c>
      <c r="I24" s="2">
        <v>160901</v>
      </c>
      <c r="J24" s="2">
        <v>78831</v>
      </c>
      <c r="K24" s="2">
        <v>503</v>
      </c>
      <c r="L24" s="2">
        <v>6789</v>
      </c>
      <c r="M24" s="2">
        <v>6557</v>
      </c>
      <c r="N24" s="2">
        <v>300</v>
      </c>
      <c r="O24" s="41">
        <v>4.2193649999999999E-2</v>
      </c>
      <c r="P24" s="6">
        <f t="shared" si="0"/>
        <v>4.0751766614253483E-2</v>
      </c>
      <c r="Q24" s="6">
        <v>4.0751766614253483E-2</v>
      </c>
      <c r="R24" s="32">
        <v>0.4226201204467343</v>
      </c>
      <c r="S24" s="7">
        <v>3.1261458909515789E-3</v>
      </c>
      <c r="T24" s="7">
        <v>6.3807385419441592E-3</v>
      </c>
      <c r="U24" t="s">
        <v>73</v>
      </c>
    </row>
    <row r="25" spans="1:21" ht="15.75" customHeight="1" x14ac:dyDescent="0.25">
      <c r="A25" t="s">
        <v>25</v>
      </c>
      <c r="B25" t="s">
        <v>61</v>
      </c>
      <c r="C25" t="s">
        <v>15</v>
      </c>
      <c r="D25" t="s">
        <v>67</v>
      </c>
      <c r="E25" t="s">
        <v>20</v>
      </c>
      <c r="F25" t="s">
        <v>17</v>
      </c>
      <c r="G25" t="s">
        <v>34</v>
      </c>
      <c r="H25" s="1">
        <v>55.1</v>
      </c>
      <c r="I25" s="2">
        <v>123008</v>
      </c>
      <c r="J25" s="2">
        <v>67698</v>
      </c>
      <c r="K25" s="2">
        <v>403</v>
      </c>
      <c r="L25" s="2">
        <v>2713</v>
      </c>
      <c r="M25" s="2">
        <v>2615</v>
      </c>
      <c r="N25" s="2">
        <v>90</v>
      </c>
      <c r="O25" s="41">
        <v>2.2055479999999999E-2</v>
      </c>
      <c r="P25" s="6">
        <f t="shared" si="0"/>
        <v>2.1258779916753383E-2</v>
      </c>
      <c r="Q25" s="6">
        <v>2.1258779916753383E-2</v>
      </c>
      <c r="R25" s="32">
        <v>0.44793834547346517</v>
      </c>
      <c r="S25" s="7">
        <v>3.276209677419355E-3</v>
      </c>
      <c r="T25" s="7">
        <v>5.9529085054211353E-3</v>
      </c>
      <c r="U25" t="s">
        <v>73</v>
      </c>
    </row>
    <row r="26" spans="1:21" ht="15.75" customHeight="1" x14ac:dyDescent="0.25">
      <c r="A26" t="s">
        <v>25</v>
      </c>
      <c r="B26" t="s">
        <v>61</v>
      </c>
      <c r="C26" t="s">
        <v>15</v>
      </c>
      <c r="D26" t="s">
        <v>67</v>
      </c>
      <c r="E26" t="s">
        <v>20</v>
      </c>
      <c r="F26" t="s">
        <v>17</v>
      </c>
      <c r="G26" t="s">
        <v>33</v>
      </c>
      <c r="H26" s="1">
        <v>54.4</v>
      </c>
      <c r="I26" s="2">
        <v>72241</v>
      </c>
      <c r="J26" s="2">
        <v>37856</v>
      </c>
      <c r="K26" s="2">
        <v>198</v>
      </c>
      <c r="L26" s="2">
        <v>13750</v>
      </c>
      <c r="M26" s="2">
        <v>13629</v>
      </c>
      <c r="N26" s="2">
        <v>165</v>
      </c>
      <c r="O26" s="41">
        <v>0.19033512999999999</v>
      </c>
      <c r="P26" s="6">
        <f t="shared" si="0"/>
        <v>0.18866017912265887</v>
      </c>
      <c r="Q26" s="6">
        <v>0.18866017912265887</v>
      </c>
      <c r="R26" s="32">
        <v>0.75303498013593384</v>
      </c>
      <c r="S26" s="7">
        <v>2.7408258468182888E-3</v>
      </c>
      <c r="T26" s="7">
        <v>5.2303465765004224E-3</v>
      </c>
      <c r="U26" t="s">
        <v>73</v>
      </c>
    </row>
    <row r="27" spans="1:21" ht="15.75" customHeight="1" x14ac:dyDescent="0.25">
      <c r="A27" t="s">
        <v>25</v>
      </c>
      <c r="B27" t="s">
        <v>61</v>
      </c>
      <c r="C27" t="s">
        <v>15</v>
      </c>
      <c r="D27" t="s">
        <v>67</v>
      </c>
      <c r="E27" t="s">
        <v>16</v>
      </c>
      <c r="F27" t="s">
        <v>17</v>
      </c>
      <c r="G27" t="s">
        <v>34</v>
      </c>
      <c r="H27" s="1">
        <v>48.55</v>
      </c>
      <c r="I27" s="2">
        <v>109820</v>
      </c>
      <c r="J27" s="2">
        <v>46720</v>
      </c>
      <c r="K27" s="2">
        <v>240</v>
      </c>
      <c r="L27" s="2">
        <v>1645</v>
      </c>
      <c r="M27" s="2">
        <v>1571</v>
      </c>
      <c r="N27" s="2">
        <v>1370</v>
      </c>
      <c r="O27" s="41">
        <v>1.4979060000000001E-2</v>
      </c>
      <c r="P27" s="6">
        <f t="shared" si="0"/>
        <v>1.4305226734656711E-2</v>
      </c>
      <c r="Q27" s="6">
        <v>1.4305226734656711E-2</v>
      </c>
      <c r="R27" s="32">
        <v>0.44208705153888178</v>
      </c>
      <c r="S27" s="7">
        <v>2.1853942815516299E-3</v>
      </c>
      <c r="T27" s="7">
        <v>5.1369863013698627E-3</v>
      </c>
      <c r="U27" t="s">
        <v>73</v>
      </c>
    </row>
    <row r="28" spans="1:21" ht="15.75" customHeight="1" x14ac:dyDescent="0.25">
      <c r="A28" t="s">
        <v>25</v>
      </c>
      <c r="B28" t="s">
        <v>61</v>
      </c>
      <c r="C28" t="s">
        <v>15</v>
      </c>
      <c r="D28" t="s">
        <v>67</v>
      </c>
      <c r="E28" t="s">
        <v>20</v>
      </c>
      <c r="F28" t="s">
        <v>40</v>
      </c>
      <c r="G28" t="s">
        <v>34</v>
      </c>
      <c r="H28" s="1">
        <v>46.65</v>
      </c>
      <c r="I28" s="2">
        <v>111983</v>
      </c>
      <c r="J28" s="2">
        <v>69551</v>
      </c>
      <c r="K28" s="2">
        <v>246</v>
      </c>
      <c r="L28" s="2">
        <v>158</v>
      </c>
      <c r="M28" s="2">
        <v>0</v>
      </c>
      <c r="N28" s="2">
        <v>0</v>
      </c>
      <c r="O28" s="41">
        <v>1.4109299999999999E-3</v>
      </c>
      <c r="P28" s="6">
        <f t="shared" si="0"/>
        <v>0</v>
      </c>
      <c r="Q28" s="6">
        <v>0</v>
      </c>
      <c r="R28" s="32">
        <v>0.41658108820088763</v>
      </c>
      <c r="S28" s="7">
        <v>2.1967620085191503E-3</v>
      </c>
      <c r="T28" s="7">
        <v>3.5369728688300671E-3</v>
      </c>
      <c r="U28" t="s">
        <v>73</v>
      </c>
    </row>
    <row r="29" spans="1:21" ht="15.75" customHeight="1" x14ac:dyDescent="0.25">
      <c r="A29" t="s">
        <v>25</v>
      </c>
      <c r="B29" t="s">
        <v>61</v>
      </c>
      <c r="C29" t="s">
        <v>38</v>
      </c>
      <c r="D29" t="s">
        <v>68</v>
      </c>
      <c r="E29" t="s">
        <v>20</v>
      </c>
      <c r="F29" t="s">
        <v>17</v>
      </c>
      <c r="G29" t="s">
        <v>34</v>
      </c>
      <c r="H29" s="1">
        <v>42.98</v>
      </c>
      <c r="I29" s="2">
        <v>98096</v>
      </c>
      <c r="J29" s="2">
        <v>44213</v>
      </c>
      <c r="K29" s="2">
        <v>419</v>
      </c>
      <c r="L29" s="2">
        <v>3588</v>
      </c>
      <c r="M29" s="2">
        <v>3530</v>
      </c>
      <c r="N29" s="2">
        <v>189</v>
      </c>
      <c r="O29" s="41">
        <v>3.6576409999999997E-2</v>
      </c>
      <c r="P29" s="6">
        <f t="shared" si="0"/>
        <v>3.5985157396835755E-2</v>
      </c>
      <c r="Q29" s="6">
        <v>3.5985157396835755E-2</v>
      </c>
      <c r="R29" s="32">
        <v>0.43814222802152991</v>
      </c>
      <c r="S29" s="7">
        <v>4.2713260479530259E-3</v>
      </c>
      <c r="T29" s="7">
        <v>9.4768507000203561E-3</v>
      </c>
      <c r="U29" t="s">
        <v>73</v>
      </c>
    </row>
    <row r="30" spans="1:21" ht="15.75" customHeight="1" x14ac:dyDescent="0.25">
      <c r="A30" t="s">
        <v>25</v>
      </c>
      <c r="B30" t="s">
        <v>61</v>
      </c>
      <c r="C30" t="s">
        <v>15</v>
      </c>
      <c r="D30" t="s">
        <v>67</v>
      </c>
      <c r="E30" t="s">
        <v>20</v>
      </c>
      <c r="F30" t="s">
        <v>41</v>
      </c>
      <c r="G30" t="s">
        <v>34</v>
      </c>
      <c r="H30" s="1">
        <v>38.81</v>
      </c>
      <c r="I30" s="2">
        <v>80911</v>
      </c>
      <c r="J30" s="2">
        <v>50961</v>
      </c>
      <c r="K30" s="2">
        <v>140</v>
      </c>
      <c r="L30" s="2">
        <v>2654</v>
      </c>
      <c r="M30" s="2">
        <v>2584</v>
      </c>
      <c r="N30" s="2">
        <v>2642</v>
      </c>
      <c r="O30" s="41">
        <v>3.2801469999999999E-2</v>
      </c>
      <c r="P30" s="6">
        <f t="shared" si="0"/>
        <v>3.1936325097947124E-2</v>
      </c>
      <c r="Q30" s="6">
        <v>3.1936325097947124E-2</v>
      </c>
      <c r="R30" s="32">
        <v>0.47966283941614862</v>
      </c>
      <c r="S30" s="7">
        <v>1.7302962514367639E-3</v>
      </c>
      <c r="T30" s="7">
        <v>2.7471988383273478E-3</v>
      </c>
      <c r="U30" t="s">
        <v>73</v>
      </c>
    </row>
    <row r="31" spans="1:21" ht="15.75" customHeight="1" x14ac:dyDescent="0.25">
      <c r="A31" t="s">
        <v>25</v>
      </c>
      <c r="B31" t="s">
        <v>61</v>
      </c>
      <c r="C31" t="s">
        <v>15</v>
      </c>
      <c r="D31" t="s">
        <v>67</v>
      </c>
      <c r="E31" t="s">
        <v>20</v>
      </c>
      <c r="F31" t="s">
        <v>17</v>
      </c>
      <c r="G31" t="s">
        <v>34</v>
      </c>
      <c r="H31" s="1">
        <v>36.69</v>
      </c>
      <c r="I31" s="2">
        <v>80494</v>
      </c>
      <c r="J31" s="2">
        <v>52737</v>
      </c>
      <c r="K31" s="2">
        <v>261</v>
      </c>
      <c r="L31" s="2">
        <v>2518</v>
      </c>
      <c r="M31" s="2">
        <v>2454</v>
      </c>
      <c r="N31" s="2">
        <v>141</v>
      </c>
      <c r="O31" s="41">
        <v>3.1281829999999997E-2</v>
      </c>
      <c r="P31" s="6">
        <f t="shared" si="0"/>
        <v>3.0486744353616417E-2</v>
      </c>
      <c r="Q31" s="6">
        <v>3.0486744353616417E-2</v>
      </c>
      <c r="R31" s="32">
        <v>0.45581037095932614</v>
      </c>
      <c r="S31" s="7">
        <v>3.2424777002012573E-3</v>
      </c>
      <c r="T31" s="7">
        <v>4.9490869787815004E-3</v>
      </c>
      <c r="U31" t="s">
        <v>73</v>
      </c>
    </row>
    <row r="32" spans="1:21" ht="15.75" customHeight="1" x14ac:dyDescent="0.25">
      <c r="A32" t="s">
        <v>25</v>
      </c>
      <c r="B32" t="s">
        <v>61</v>
      </c>
      <c r="C32" t="s">
        <v>38</v>
      </c>
      <c r="D32" t="s">
        <v>68</v>
      </c>
      <c r="E32" t="s">
        <v>16</v>
      </c>
      <c r="F32" t="s">
        <v>40</v>
      </c>
      <c r="G32" t="s">
        <v>34</v>
      </c>
      <c r="H32" s="1">
        <v>33.479999999999997</v>
      </c>
      <c r="I32" s="2">
        <v>67488</v>
      </c>
      <c r="J32" s="2">
        <v>42864</v>
      </c>
      <c r="K32" s="2">
        <v>145</v>
      </c>
      <c r="L32" s="2">
        <v>82</v>
      </c>
      <c r="M32" s="2">
        <v>0</v>
      </c>
      <c r="N32" s="2">
        <v>0</v>
      </c>
      <c r="O32" s="41">
        <v>1.21503E-3</v>
      </c>
      <c r="P32" s="6">
        <f t="shared" si="0"/>
        <v>0</v>
      </c>
      <c r="Q32" s="6">
        <v>0</v>
      </c>
      <c r="R32" s="32">
        <v>0.49608819345661442</v>
      </c>
      <c r="S32" s="7">
        <v>2.148530109056425E-3</v>
      </c>
      <c r="T32" s="7">
        <v>3.3827920865994779E-3</v>
      </c>
      <c r="U32" t="s">
        <v>73</v>
      </c>
    </row>
    <row r="33" spans="1:21" ht="15.75" customHeight="1" x14ac:dyDescent="0.25">
      <c r="A33" t="s">
        <v>25</v>
      </c>
      <c r="B33" t="s">
        <v>61</v>
      </c>
      <c r="C33" t="s">
        <v>15</v>
      </c>
      <c r="D33" t="s">
        <v>67</v>
      </c>
      <c r="E33" t="s">
        <v>20</v>
      </c>
      <c r="F33" t="s">
        <v>40</v>
      </c>
      <c r="G33" t="s">
        <v>34</v>
      </c>
      <c r="H33" s="1">
        <v>31.35</v>
      </c>
      <c r="I33" s="2">
        <v>74935</v>
      </c>
      <c r="J33" s="2">
        <v>41111</v>
      </c>
      <c r="K33" s="2">
        <v>177</v>
      </c>
      <c r="L33" s="2">
        <v>124</v>
      </c>
      <c r="M33" s="2">
        <v>0</v>
      </c>
      <c r="N33" s="2">
        <v>0</v>
      </c>
      <c r="O33" s="41">
        <v>1.6547700000000001E-3</v>
      </c>
      <c r="P33" s="6">
        <f t="shared" si="0"/>
        <v>0</v>
      </c>
      <c r="Q33" s="6">
        <v>0</v>
      </c>
      <c r="R33" s="32">
        <v>0.41836258090344969</v>
      </c>
      <c r="S33" s="7">
        <v>2.3620471074931606E-3</v>
      </c>
      <c r="T33" s="7">
        <v>4.3054170416676803E-3</v>
      </c>
      <c r="U33" t="s">
        <v>73</v>
      </c>
    </row>
    <row r="34" spans="1:21" ht="15.75" customHeight="1" x14ac:dyDescent="0.25">
      <c r="A34" t="s">
        <v>25</v>
      </c>
      <c r="B34" t="s">
        <v>61</v>
      </c>
      <c r="C34" t="s">
        <v>15</v>
      </c>
      <c r="D34" t="s">
        <v>67</v>
      </c>
      <c r="E34" t="s">
        <v>16</v>
      </c>
      <c r="F34" t="s">
        <v>17</v>
      </c>
      <c r="G34" t="s">
        <v>34</v>
      </c>
      <c r="H34" s="1">
        <v>28.83</v>
      </c>
      <c r="I34" s="2">
        <v>32039</v>
      </c>
      <c r="J34" s="2">
        <v>24664</v>
      </c>
      <c r="K34" s="2">
        <v>199</v>
      </c>
      <c r="L34" s="2">
        <v>7506</v>
      </c>
      <c r="M34" s="2">
        <v>7350</v>
      </c>
      <c r="N34" s="2">
        <v>87</v>
      </c>
      <c r="O34" s="41">
        <v>0.23427697</v>
      </c>
      <c r="P34" s="6">
        <f t="shared" si="0"/>
        <v>0.22940790911077125</v>
      </c>
      <c r="Q34" s="6">
        <v>0.22940790911077125</v>
      </c>
      <c r="R34" s="32">
        <v>0.89984081900184143</v>
      </c>
      <c r="S34" s="7">
        <v>6.2111801242236021E-3</v>
      </c>
      <c r="T34" s="7">
        <v>8.0684398313331171E-3</v>
      </c>
      <c r="U34" t="s">
        <v>73</v>
      </c>
    </row>
    <row r="35" spans="1:21" ht="15.75" customHeight="1" x14ac:dyDescent="0.25">
      <c r="A35" t="s">
        <v>25</v>
      </c>
      <c r="B35" t="s">
        <v>61</v>
      </c>
      <c r="C35" t="s">
        <v>15</v>
      </c>
      <c r="D35" t="s">
        <v>67</v>
      </c>
      <c r="E35" t="s">
        <v>16</v>
      </c>
      <c r="F35" t="s">
        <v>17</v>
      </c>
      <c r="G35" t="s">
        <v>18</v>
      </c>
      <c r="H35" s="1">
        <v>28.78</v>
      </c>
      <c r="I35" s="2">
        <v>59574</v>
      </c>
      <c r="J35" s="2">
        <v>52224</v>
      </c>
      <c r="K35" s="2">
        <v>33</v>
      </c>
      <c r="L35" s="2">
        <v>3130</v>
      </c>
      <c r="M35" s="2">
        <v>3099</v>
      </c>
      <c r="N35" s="2">
        <v>69</v>
      </c>
      <c r="O35" s="41">
        <v>5.2539700000000002E-2</v>
      </c>
      <c r="P35" s="6">
        <f t="shared" si="0"/>
        <v>5.2019337294793029E-2</v>
      </c>
      <c r="Q35" s="6">
        <v>5.2019337294793029E-2</v>
      </c>
      <c r="R35" s="32">
        <v>0.48309665290227277</v>
      </c>
      <c r="S35" s="7">
        <v>5.5393292375868666E-4</v>
      </c>
      <c r="T35" s="7">
        <v>6.3189338235294121E-4</v>
      </c>
      <c r="U35" t="s">
        <v>73</v>
      </c>
    </row>
    <row r="36" spans="1:21" ht="15.75" customHeight="1" x14ac:dyDescent="0.25">
      <c r="A36" t="s">
        <v>25</v>
      </c>
      <c r="B36" t="s">
        <v>61</v>
      </c>
      <c r="C36" t="s">
        <v>15</v>
      </c>
      <c r="D36" t="s">
        <v>67</v>
      </c>
      <c r="E36" t="s">
        <v>16</v>
      </c>
      <c r="F36" t="s">
        <v>17</v>
      </c>
      <c r="G36" t="s">
        <v>34</v>
      </c>
      <c r="H36" s="1">
        <v>27.15</v>
      </c>
      <c r="I36" s="2">
        <v>11580</v>
      </c>
      <c r="J36" s="2">
        <v>9136</v>
      </c>
      <c r="K36" s="2">
        <v>85</v>
      </c>
      <c r="L36" s="2">
        <v>5518</v>
      </c>
      <c r="M36" s="2">
        <v>5444</v>
      </c>
      <c r="N36" s="2">
        <v>16</v>
      </c>
      <c r="O36" s="41">
        <v>0.47651123000000001</v>
      </c>
      <c r="P36" s="6">
        <f t="shared" si="0"/>
        <v>0.47012089810017271</v>
      </c>
      <c r="Q36" s="6">
        <v>0.47012089810017271</v>
      </c>
      <c r="R36" s="32">
        <v>2.3445595854922279</v>
      </c>
      <c r="S36" s="7">
        <v>7.3402417962003452E-3</v>
      </c>
      <c r="T36" s="7">
        <v>9.3038528896672509E-3</v>
      </c>
      <c r="U36" t="s">
        <v>73</v>
      </c>
    </row>
    <row r="37" spans="1:21" ht="15.75" customHeight="1" x14ac:dyDescent="0.25">
      <c r="A37" t="s">
        <v>25</v>
      </c>
      <c r="B37" t="s">
        <v>61</v>
      </c>
      <c r="C37" t="s">
        <v>38</v>
      </c>
      <c r="D37" t="s">
        <v>68</v>
      </c>
      <c r="E37" t="s">
        <v>20</v>
      </c>
      <c r="F37" t="s">
        <v>17</v>
      </c>
      <c r="G37" t="s">
        <v>33</v>
      </c>
      <c r="H37" s="1">
        <v>27.12</v>
      </c>
      <c r="I37" s="2">
        <v>56641</v>
      </c>
      <c r="J37" s="2">
        <v>25511</v>
      </c>
      <c r="K37" s="2">
        <v>158</v>
      </c>
      <c r="L37" s="2">
        <v>2296</v>
      </c>
      <c r="M37" s="2">
        <v>2259</v>
      </c>
      <c r="N37" s="2">
        <v>94</v>
      </c>
      <c r="O37" s="41">
        <v>4.0536009999999997E-2</v>
      </c>
      <c r="P37" s="6">
        <f t="shared" si="0"/>
        <v>3.9882770431313004E-2</v>
      </c>
      <c r="Q37" s="6">
        <v>3.9882770431313004E-2</v>
      </c>
      <c r="R37" s="32">
        <v>0.47880510584205788</v>
      </c>
      <c r="S37" s="7">
        <v>2.7894987729736409E-3</v>
      </c>
      <c r="T37" s="7">
        <v>6.1934067657089097E-3</v>
      </c>
      <c r="U37" t="s">
        <v>73</v>
      </c>
    </row>
    <row r="38" spans="1:21" ht="15.75" customHeight="1" x14ac:dyDescent="0.25">
      <c r="A38" t="s">
        <v>25</v>
      </c>
      <c r="B38" t="s">
        <v>61</v>
      </c>
      <c r="C38" t="s">
        <v>15</v>
      </c>
      <c r="D38" t="s">
        <v>67</v>
      </c>
      <c r="E38" t="s">
        <v>20</v>
      </c>
      <c r="F38" t="s">
        <v>17</v>
      </c>
      <c r="G38" t="s">
        <v>33</v>
      </c>
      <c r="H38" s="1">
        <v>25.69</v>
      </c>
      <c r="I38" s="2">
        <v>55864</v>
      </c>
      <c r="J38" s="2">
        <v>34601</v>
      </c>
      <c r="K38" s="2">
        <v>122</v>
      </c>
      <c r="L38" s="2">
        <v>1732</v>
      </c>
      <c r="M38" s="2">
        <v>1703</v>
      </c>
      <c r="N38" s="2">
        <v>33</v>
      </c>
      <c r="O38" s="41">
        <v>3.1003869999999999E-2</v>
      </c>
      <c r="P38" s="6">
        <f t="shared" si="0"/>
        <v>3.0484748675354431E-2</v>
      </c>
      <c r="Q38" s="6">
        <v>3.0484748675354431E-2</v>
      </c>
      <c r="R38" s="32">
        <v>0.45986681941858804</v>
      </c>
      <c r="S38" s="7">
        <v>2.1838751253043104E-3</v>
      </c>
      <c r="T38" s="7">
        <v>3.5259096557902951E-3</v>
      </c>
      <c r="U38" t="s">
        <v>73</v>
      </c>
    </row>
    <row r="39" spans="1:21" ht="15.75" customHeight="1" x14ac:dyDescent="0.25">
      <c r="A39" t="s">
        <v>25</v>
      </c>
      <c r="B39" t="s">
        <v>61</v>
      </c>
      <c r="C39" t="s">
        <v>38</v>
      </c>
      <c r="D39" t="s">
        <v>68</v>
      </c>
      <c r="E39" t="s">
        <v>16</v>
      </c>
      <c r="F39" t="s">
        <v>40</v>
      </c>
      <c r="G39" t="s">
        <v>34</v>
      </c>
      <c r="H39" s="1">
        <v>25.24</v>
      </c>
      <c r="I39" s="2">
        <v>58768</v>
      </c>
      <c r="J39" s="2">
        <v>35632</v>
      </c>
      <c r="K39" s="2">
        <v>116</v>
      </c>
      <c r="L39" s="2">
        <v>73</v>
      </c>
      <c r="M39" s="2">
        <v>0</v>
      </c>
      <c r="N39" s="2">
        <v>0</v>
      </c>
      <c r="O39" s="41">
        <v>1.2421699999999999E-3</v>
      </c>
      <c r="P39" s="6">
        <f t="shared" si="0"/>
        <v>0</v>
      </c>
      <c r="Q39" s="6">
        <v>0</v>
      </c>
      <c r="R39" s="32">
        <v>0.42948543424993191</v>
      </c>
      <c r="S39" s="7">
        <v>1.9738633269806697E-3</v>
      </c>
      <c r="T39" s="7">
        <v>3.2555006735518629E-3</v>
      </c>
      <c r="U39" t="s">
        <v>73</v>
      </c>
    </row>
    <row r="40" spans="1:21" ht="15.75" customHeight="1" x14ac:dyDescent="0.25">
      <c r="A40" t="s">
        <v>25</v>
      </c>
      <c r="B40" t="s">
        <v>61</v>
      </c>
      <c r="C40" t="s">
        <v>15</v>
      </c>
      <c r="D40" t="s">
        <v>67</v>
      </c>
      <c r="E40" t="s">
        <v>16</v>
      </c>
      <c r="F40" t="s">
        <v>17</v>
      </c>
      <c r="G40" t="s">
        <v>18</v>
      </c>
      <c r="H40" s="1">
        <v>23.43</v>
      </c>
      <c r="I40" s="2">
        <v>47723</v>
      </c>
      <c r="J40" s="2">
        <v>41544</v>
      </c>
      <c r="K40" s="2">
        <v>27</v>
      </c>
      <c r="L40" s="2">
        <v>2080</v>
      </c>
      <c r="M40" s="2">
        <v>2052</v>
      </c>
      <c r="N40" s="2">
        <v>25</v>
      </c>
      <c r="O40" s="41">
        <v>4.3584850000000001E-2</v>
      </c>
      <c r="P40" s="6">
        <f t="shared" si="0"/>
        <v>4.2998135071139705E-2</v>
      </c>
      <c r="Q40" s="6">
        <v>4.2998135071139705E-2</v>
      </c>
      <c r="R40" s="32">
        <v>0.49095823816608342</v>
      </c>
      <c r="S40" s="7">
        <v>5.6576493514657504E-4</v>
      </c>
      <c r="T40" s="7">
        <v>6.499133448873484E-4</v>
      </c>
      <c r="U40" t="s">
        <v>73</v>
      </c>
    </row>
    <row r="41" spans="1:21" ht="15.75" customHeight="1" x14ac:dyDescent="0.25">
      <c r="A41" t="s">
        <v>25</v>
      </c>
      <c r="B41" t="s">
        <v>61</v>
      </c>
      <c r="C41" t="s">
        <v>15</v>
      </c>
      <c r="D41" t="s">
        <v>67</v>
      </c>
      <c r="E41" t="s">
        <v>20</v>
      </c>
      <c r="F41" t="s">
        <v>17</v>
      </c>
      <c r="G41" t="s">
        <v>34</v>
      </c>
      <c r="H41" s="1">
        <v>23.4</v>
      </c>
      <c r="I41" s="2">
        <v>14905</v>
      </c>
      <c r="J41" s="2">
        <v>12480</v>
      </c>
      <c r="K41" s="2">
        <v>71</v>
      </c>
      <c r="L41" s="2">
        <v>3945</v>
      </c>
      <c r="M41" s="2">
        <v>3887</v>
      </c>
      <c r="N41" s="2">
        <v>37</v>
      </c>
      <c r="O41" s="41">
        <v>0.26467627999999999</v>
      </c>
      <c r="P41" s="6">
        <f t="shared" si="0"/>
        <v>0.26078497148607849</v>
      </c>
      <c r="Q41" s="6">
        <v>0.26078497148607849</v>
      </c>
      <c r="R41" s="32">
        <v>1.5699429721569942</v>
      </c>
      <c r="S41" s="7">
        <v>4.7635021804763502E-3</v>
      </c>
      <c r="T41" s="7">
        <v>5.6891025641025638E-3</v>
      </c>
      <c r="U41" t="s">
        <v>73</v>
      </c>
    </row>
    <row r="42" spans="1:21" ht="15.75" customHeight="1" x14ac:dyDescent="0.25">
      <c r="A42" t="s">
        <v>25</v>
      </c>
      <c r="B42" t="s">
        <v>61</v>
      </c>
      <c r="C42" t="s">
        <v>38</v>
      </c>
      <c r="D42" t="s">
        <v>68</v>
      </c>
      <c r="E42" t="s">
        <v>16</v>
      </c>
      <c r="F42" t="s">
        <v>17</v>
      </c>
      <c r="G42" t="s">
        <v>34</v>
      </c>
      <c r="H42" s="1">
        <v>22.01</v>
      </c>
      <c r="I42" s="2">
        <v>47295</v>
      </c>
      <c r="J42" s="2">
        <v>23105</v>
      </c>
      <c r="K42" s="2">
        <v>209</v>
      </c>
      <c r="L42" s="2">
        <v>1837</v>
      </c>
      <c r="M42" s="2">
        <v>1796</v>
      </c>
      <c r="N42" s="2">
        <v>105</v>
      </c>
      <c r="O42" s="41">
        <v>3.8841319999999999E-2</v>
      </c>
      <c r="P42" s="6">
        <f t="shared" si="0"/>
        <v>3.797441590020087E-2</v>
      </c>
      <c r="Q42" s="6">
        <v>3.797441590020087E-2</v>
      </c>
      <c r="R42" s="32">
        <v>0.46537688973464431</v>
      </c>
      <c r="S42" s="7">
        <v>4.4190717834866264E-3</v>
      </c>
      <c r="T42" s="7">
        <v>9.0456611123133513E-3</v>
      </c>
      <c r="U42" t="s">
        <v>73</v>
      </c>
    </row>
    <row r="43" spans="1:21" ht="15.75" customHeight="1" x14ac:dyDescent="0.25">
      <c r="A43" t="s">
        <v>25</v>
      </c>
      <c r="B43" t="s">
        <v>61</v>
      </c>
      <c r="C43" t="s">
        <v>38</v>
      </c>
      <c r="D43" t="s">
        <v>68</v>
      </c>
      <c r="E43" t="s">
        <v>20</v>
      </c>
      <c r="F43" t="s">
        <v>17</v>
      </c>
      <c r="G43" t="s">
        <v>33</v>
      </c>
      <c r="H43" s="1">
        <v>20.8</v>
      </c>
      <c r="I43" s="2">
        <v>47359</v>
      </c>
      <c r="J43" s="2">
        <v>21016</v>
      </c>
      <c r="K43" s="2">
        <v>174</v>
      </c>
      <c r="L43" s="2">
        <v>2073</v>
      </c>
      <c r="M43" s="2">
        <v>2041</v>
      </c>
      <c r="N43" s="2">
        <v>80</v>
      </c>
      <c r="O43" s="41">
        <v>4.3772039999999998E-2</v>
      </c>
      <c r="P43" s="6">
        <f t="shared" si="0"/>
        <v>4.3096349162777929E-2</v>
      </c>
      <c r="Q43" s="6">
        <v>4.3096349162777929E-2</v>
      </c>
      <c r="R43" s="32">
        <v>0.43919846280538022</v>
      </c>
      <c r="S43" s="7">
        <v>3.6740640638526995E-3</v>
      </c>
      <c r="T43" s="7">
        <v>8.2794061667301102E-3</v>
      </c>
      <c r="U43" t="s">
        <v>73</v>
      </c>
    </row>
    <row r="44" spans="1:21" ht="15.75" customHeight="1" x14ac:dyDescent="0.25">
      <c r="A44" t="s">
        <v>25</v>
      </c>
      <c r="B44" t="s">
        <v>61</v>
      </c>
      <c r="C44" t="s">
        <v>15</v>
      </c>
      <c r="D44" t="s">
        <v>67</v>
      </c>
      <c r="E44" t="s">
        <v>20</v>
      </c>
      <c r="F44" t="s">
        <v>17</v>
      </c>
      <c r="G44" t="s">
        <v>34</v>
      </c>
      <c r="H44" s="1">
        <v>20.49</v>
      </c>
      <c r="I44" s="2">
        <v>14744</v>
      </c>
      <c r="J44" s="2">
        <v>11188</v>
      </c>
      <c r="K44" s="2">
        <v>100</v>
      </c>
      <c r="L44" s="2">
        <v>7442</v>
      </c>
      <c r="M44" s="2">
        <v>7359</v>
      </c>
      <c r="N44" s="2">
        <v>36</v>
      </c>
      <c r="O44" s="41">
        <v>0.50474768999999997</v>
      </c>
      <c r="P44" s="6">
        <f t="shared" si="0"/>
        <v>0.49911828540423225</v>
      </c>
      <c r="Q44" s="6">
        <v>0.49911828540423225</v>
      </c>
      <c r="R44" s="32">
        <v>1.3897178513293542</v>
      </c>
      <c r="S44" s="7">
        <v>6.7824199674443838E-3</v>
      </c>
      <c r="T44" s="7">
        <v>8.9381480157311403E-3</v>
      </c>
      <c r="U44" t="s">
        <v>73</v>
      </c>
    </row>
    <row r="45" spans="1:21" ht="15.75" customHeight="1" x14ac:dyDescent="0.25">
      <c r="A45" t="s">
        <v>25</v>
      </c>
      <c r="B45" t="s">
        <v>61</v>
      </c>
      <c r="C45" t="s">
        <v>15</v>
      </c>
      <c r="D45" t="s">
        <v>67</v>
      </c>
      <c r="E45" t="s">
        <v>16</v>
      </c>
      <c r="F45" t="s">
        <v>17</v>
      </c>
      <c r="G45" t="s">
        <v>33</v>
      </c>
      <c r="H45" s="1">
        <v>18.239999999999998</v>
      </c>
      <c r="I45" s="2">
        <v>22386</v>
      </c>
      <c r="J45" s="2">
        <v>14188</v>
      </c>
      <c r="K45" s="2">
        <v>73</v>
      </c>
      <c r="L45" s="2">
        <v>3778</v>
      </c>
      <c r="M45" s="2">
        <v>3736</v>
      </c>
      <c r="N45" s="2">
        <v>26</v>
      </c>
      <c r="O45" s="41">
        <v>0.16876619000000001</v>
      </c>
      <c r="P45" s="6">
        <f t="shared" si="0"/>
        <v>0.16689002054855714</v>
      </c>
      <c r="Q45" s="6">
        <v>0.16689002054855714</v>
      </c>
      <c r="R45" s="32">
        <v>0.81479496113642447</v>
      </c>
      <c r="S45" s="7">
        <v>3.2609666756008219E-3</v>
      </c>
      <c r="T45" s="7">
        <v>5.1451931209472793E-3</v>
      </c>
      <c r="U45" t="s">
        <v>73</v>
      </c>
    </row>
    <row r="46" spans="1:21" ht="15.75" customHeight="1" x14ac:dyDescent="0.25">
      <c r="A46" t="s">
        <v>25</v>
      </c>
      <c r="B46" t="s">
        <v>61</v>
      </c>
      <c r="C46" t="s">
        <v>38</v>
      </c>
      <c r="D46" t="s">
        <v>68</v>
      </c>
      <c r="E46" t="s">
        <v>20</v>
      </c>
      <c r="F46" t="s">
        <v>40</v>
      </c>
      <c r="G46" t="s">
        <v>34</v>
      </c>
      <c r="H46" s="1">
        <v>17.09</v>
      </c>
      <c r="I46" s="2">
        <v>41863</v>
      </c>
      <c r="J46" s="2">
        <v>26215</v>
      </c>
      <c r="K46" s="2">
        <v>85</v>
      </c>
      <c r="L46" s="2">
        <v>45</v>
      </c>
      <c r="M46" s="2">
        <v>0</v>
      </c>
      <c r="N46" s="2">
        <v>0</v>
      </c>
      <c r="O46" s="41">
        <v>1.07493E-3</v>
      </c>
      <c r="P46" s="6">
        <f t="shared" si="0"/>
        <v>0</v>
      </c>
      <c r="Q46" s="6">
        <v>0</v>
      </c>
      <c r="R46" s="32">
        <v>0.4082363901297088</v>
      </c>
      <c r="S46" s="7">
        <v>2.0304326015813485E-3</v>
      </c>
      <c r="T46" s="7">
        <v>3.242418462712188E-3</v>
      </c>
      <c r="U46" t="s">
        <v>73</v>
      </c>
    </row>
    <row r="47" spans="1:21" ht="15.75" customHeight="1" x14ac:dyDescent="0.25">
      <c r="A47" t="s">
        <v>25</v>
      </c>
      <c r="B47" t="s">
        <v>61</v>
      </c>
      <c r="C47" t="s">
        <v>38</v>
      </c>
      <c r="D47" t="s">
        <v>68</v>
      </c>
      <c r="E47" t="s">
        <v>16</v>
      </c>
      <c r="F47" t="s">
        <v>17</v>
      </c>
      <c r="G47" t="s">
        <v>33</v>
      </c>
      <c r="H47" s="1">
        <v>16.329999999999998</v>
      </c>
      <c r="I47" s="2">
        <v>41138</v>
      </c>
      <c r="J47" s="2">
        <v>23439</v>
      </c>
      <c r="K47" s="2">
        <v>127</v>
      </c>
      <c r="L47" s="2">
        <v>1802</v>
      </c>
      <c r="M47" s="2">
        <v>1737</v>
      </c>
      <c r="N47" s="2">
        <v>87</v>
      </c>
      <c r="O47" s="41">
        <v>4.380378E-2</v>
      </c>
      <c r="P47" s="6">
        <f t="shared" si="0"/>
        <v>4.2223734746463126E-2</v>
      </c>
      <c r="Q47" s="6">
        <v>4.2223734746463126E-2</v>
      </c>
      <c r="R47" s="32">
        <v>0.39695658515241378</v>
      </c>
      <c r="S47" s="7">
        <v>3.0871700131265495E-3</v>
      </c>
      <c r="T47" s="7">
        <v>5.4183198941934376E-3</v>
      </c>
      <c r="U47" t="s">
        <v>73</v>
      </c>
    </row>
    <row r="48" spans="1:21" ht="15.75" customHeight="1" x14ac:dyDescent="0.25">
      <c r="A48" t="s">
        <v>25</v>
      </c>
      <c r="B48" t="s">
        <v>61</v>
      </c>
      <c r="C48" t="s">
        <v>38</v>
      </c>
      <c r="D48" t="s">
        <v>68</v>
      </c>
      <c r="E48" t="s">
        <v>20</v>
      </c>
      <c r="F48" t="s">
        <v>40</v>
      </c>
      <c r="G48" t="s">
        <v>34</v>
      </c>
      <c r="H48" s="1">
        <v>15.85</v>
      </c>
      <c r="I48" s="2">
        <v>36396</v>
      </c>
      <c r="J48" s="2">
        <v>24736</v>
      </c>
      <c r="K48" s="2">
        <v>94</v>
      </c>
      <c r="L48" s="2">
        <v>49</v>
      </c>
      <c r="M48" s="2">
        <v>0</v>
      </c>
      <c r="N48" s="2">
        <v>0</v>
      </c>
      <c r="O48" s="41">
        <v>1.3462999999999999E-3</v>
      </c>
      <c r="P48" s="6">
        <f t="shared" si="0"/>
        <v>0</v>
      </c>
      <c r="Q48" s="6">
        <v>0</v>
      </c>
      <c r="R48" s="32">
        <v>0.43548741619958237</v>
      </c>
      <c r="S48" s="7">
        <v>2.5827013957577757E-3</v>
      </c>
      <c r="T48" s="7">
        <v>3.8001293661060801E-3</v>
      </c>
      <c r="U48" t="s">
        <v>73</v>
      </c>
    </row>
    <row r="49" spans="1:21" ht="15.75" customHeight="1" x14ac:dyDescent="0.25">
      <c r="A49" t="s">
        <v>25</v>
      </c>
      <c r="B49" t="s">
        <v>61</v>
      </c>
      <c r="C49" t="s">
        <v>15</v>
      </c>
      <c r="D49" t="s">
        <v>67</v>
      </c>
      <c r="E49" t="s">
        <v>16</v>
      </c>
      <c r="F49" t="s">
        <v>17</v>
      </c>
      <c r="G49" t="s">
        <v>18</v>
      </c>
      <c r="H49" s="1">
        <v>13.6</v>
      </c>
      <c r="I49" s="2">
        <v>29295</v>
      </c>
      <c r="J49" s="2">
        <v>18427</v>
      </c>
      <c r="K49" s="2">
        <v>4</v>
      </c>
      <c r="L49" s="2">
        <v>651</v>
      </c>
      <c r="M49" s="2">
        <v>644</v>
      </c>
      <c r="N49" s="2">
        <v>4</v>
      </c>
      <c r="O49" s="41">
        <v>2.2222220000000001E-2</v>
      </c>
      <c r="P49" s="6">
        <f t="shared" si="0"/>
        <v>2.1983273596176821E-2</v>
      </c>
      <c r="Q49" s="6">
        <v>2.1983273596176821E-2</v>
      </c>
      <c r="R49" s="32">
        <v>0.46424304488820617</v>
      </c>
      <c r="S49" s="7">
        <v>1.3654207202594298E-4</v>
      </c>
      <c r="T49" s="7">
        <v>2.1707277364736531E-4</v>
      </c>
      <c r="U49" t="s">
        <v>73</v>
      </c>
    </row>
    <row r="50" spans="1:21" ht="15.75" customHeight="1" x14ac:dyDescent="0.25">
      <c r="A50" t="s">
        <v>25</v>
      </c>
      <c r="B50" t="s">
        <v>61</v>
      </c>
      <c r="C50" t="s">
        <v>38</v>
      </c>
      <c r="D50" t="s">
        <v>68</v>
      </c>
      <c r="E50" t="s">
        <v>16</v>
      </c>
      <c r="F50" t="s">
        <v>17</v>
      </c>
      <c r="G50" t="s">
        <v>34</v>
      </c>
      <c r="H50" s="1">
        <v>12.17</v>
      </c>
      <c r="I50" s="2">
        <v>24467</v>
      </c>
      <c r="J50" s="2">
        <v>12979</v>
      </c>
      <c r="K50" s="2">
        <v>35</v>
      </c>
      <c r="L50" s="2">
        <v>455</v>
      </c>
      <c r="M50" s="2">
        <v>448</v>
      </c>
      <c r="N50" s="2">
        <v>380</v>
      </c>
      <c r="O50" s="41">
        <v>1.8596479999999999E-2</v>
      </c>
      <c r="P50" s="6">
        <f t="shared" si="0"/>
        <v>1.8310377242816856E-2</v>
      </c>
      <c r="Q50" s="6">
        <v>1.8310377242816856E-2</v>
      </c>
      <c r="R50" s="32">
        <v>0.49740466751134177</v>
      </c>
      <c r="S50" s="7">
        <v>1.4304982220950668E-3</v>
      </c>
      <c r="T50" s="7">
        <v>2.6966638415902612E-3</v>
      </c>
      <c r="U50" t="s">
        <v>73</v>
      </c>
    </row>
    <row r="51" spans="1:21" ht="15.75" customHeight="1" x14ac:dyDescent="0.25">
      <c r="A51" t="s">
        <v>25</v>
      </c>
      <c r="B51" t="s">
        <v>61</v>
      </c>
      <c r="C51" t="s">
        <v>15</v>
      </c>
      <c r="D51" t="s">
        <v>67</v>
      </c>
      <c r="E51" t="s">
        <v>20</v>
      </c>
      <c r="F51" t="s">
        <v>17</v>
      </c>
      <c r="G51" t="s">
        <v>18</v>
      </c>
      <c r="H51" s="1">
        <v>11.42</v>
      </c>
      <c r="I51" s="2">
        <v>24891</v>
      </c>
      <c r="J51" s="2">
        <v>18592</v>
      </c>
      <c r="K51" s="2">
        <v>7</v>
      </c>
      <c r="L51" s="2">
        <v>752</v>
      </c>
      <c r="M51" s="2">
        <v>741</v>
      </c>
      <c r="N51" s="2">
        <v>4</v>
      </c>
      <c r="O51" s="41">
        <v>3.0211720000000001E-2</v>
      </c>
      <c r="P51" s="6">
        <f t="shared" si="0"/>
        <v>2.976979631191997E-2</v>
      </c>
      <c r="Q51" s="6">
        <v>2.976979631191997E-2</v>
      </c>
      <c r="R51" s="32">
        <v>0.45880036961150616</v>
      </c>
      <c r="S51" s="7">
        <v>2.8122614599654491E-4</v>
      </c>
      <c r="T51" s="7">
        <v>3.7650602409638562E-4</v>
      </c>
      <c r="U51" t="s">
        <v>73</v>
      </c>
    </row>
    <row r="52" spans="1:21" ht="15.75" customHeight="1" x14ac:dyDescent="0.25">
      <c r="A52" t="s">
        <v>25</v>
      </c>
      <c r="B52" t="s">
        <v>61</v>
      </c>
      <c r="C52" t="s">
        <v>15</v>
      </c>
      <c r="D52" t="s">
        <v>67</v>
      </c>
      <c r="E52" t="s">
        <v>20</v>
      </c>
      <c r="F52" t="s">
        <v>17</v>
      </c>
      <c r="G52" t="s">
        <v>33</v>
      </c>
      <c r="H52" s="1">
        <v>10.29</v>
      </c>
      <c r="I52" s="2">
        <v>12246</v>
      </c>
      <c r="J52" s="2">
        <v>7452</v>
      </c>
      <c r="K52" s="2">
        <v>31</v>
      </c>
      <c r="L52" s="2">
        <v>2667</v>
      </c>
      <c r="M52" s="2">
        <v>2643</v>
      </c>
      <c r="N52" s="2">
        <v>10</v>
      </c>
      <c r="O52" s="41">
        <v>0.21778539999999999</v>
      </c>
      <c r="P52" s="6">
        <f t="shared" si="0"/>
        <v>0.21582557569818717</v>
      </c>
      <c r="Q52" s="6">
        <v>0.21582557569818717</v>
      </c>
      <c r="R52" s="32">
        <v>0.8402743753062224</v>
      </c>
      <c r="S52" s="7">
        <v>2.5314388371713214E-3</v>
      </c>
      <c r="T52" s="7">
        <v>4.1599570585077834E-3</v>
      </c>
      <c r="U52" t="s">
        <v>73</v>
      </c>
    </row>
    <row r="53" spans="1:21" ht="15.75" customHeight="1" x14ac:dyDescent="0.25">
      <c r="A53" t="s">
        <v>25</v>
      </c>
      <c r="B53" t="s">
        <v>61</v>
      </c>
      <c r="C53" t="s">
        <v>15</v>
      </c>
      <c r="D53" t="s">
        <v>67</v>
      </c>
      <c r="E53" t="s">
        <v>20</v>
      </c>
      <c r="F53" t="s">
        <v>17</v>
      </c>
      <c r="G53" t="s">
        <v>18</v>
      </c>
      <c r="H53" s="1">
        <v>9.77</v>
      </c>
      <c r="I53" s="2">
        <v>21892</v>
      </c>
      <c r="J53" s="2">
        <v>13223</v>
      </c>
      <c r="K53" s="2">
        <v>4</v>
      </c>
      <c r="L53" s="2">
        <v>686</v>
      </c>
      <c r="M53" s="2">
        <v>674</v>
      </c>
      <c r="N53" s="2">
        <v>17</v>
      </c>
      <c r="O53" s="41">
        <v>3.133565E-2</v>
      </c>
      <c r="P53" s="6">
        <f t="shared" si="0"/>
        <v>3.0787502283939339E-2</v>
      </c>
      <c r="Q53" s="6">
        <v>3.0787502283939339E-2</v>
      </c>
      <c r="R53" s="32">
        <v>0.4462817467568061</v>
      </c>
      <c r="S53" s="7">
        <v>1.8271514708569341E-4</v>
      </c>
      <c r="T53" s="7">
        <v>3.0250321409664978E-4</v>
      </c>
      <c r="U53" t="s">
        <v>73</v>
      </c>
    </row>
    <row r="54" spans="1:21" ht="15.75" customHeight="1" x14ac:dyDescent="0.25">
      <c r="A54" t="s">
        <v>25</v>
      </c>
      <c r="B54" t="s">
        <v>61</v>
      </c>
      <c r="C54" t="s">
        <v>38</v>
      </c>
      <c r="D54" t="s">
        <v>68</v>
      </c>
      <c r="E54" t="s">
        <v>16</v>
      </c>
      <c r="F54" t="s">
        <v>17</v>
      </c>
      <c r="G54" t="s">
        <v>34</v>
      </c>
      <c r="H54" s="1">
        <v>9.68</v>
      </c>
      <c r="I54" s="2">
        <v>17779</v>
      </c>
      <c r="J54" s="2">
        <v>11071</v>
      </c>
      <c r="K54" s="2">
        <v>42</v>
      </c>
      <c r="L54" s="2">
        <v>613</v>
      </c>
      <c r="M54" s="2">
        <v>605</v>
      </c>
      <c r="N54" s="2">
        <v>18</v>
      </c>
      <c r="O54" s="41">
        <v>3.4478880000000003E-2</v>
      </c>
      <c r="P54" s="6">
        <f t="shared" si="0"/>
        <v>3.4028910512402269E-2</v>
      </c>
      <c r="Q54" s="6">
        <v>3.4028910512402269E-2</v>
      </c>
      <c r="R54" s="32">
        <v>0.5444625681984363</v>
      </c>
      <c r="S54" s="7">
        <v>2.3623375892907364E-3</v>
      </c>
      <c r="T54" s="7">
        <v>3.7936952398157351E-3</v>
      </c>
      <c r="U54" t="s">
        <v>73</v>
      </c>
    </row>
    <row r="55" spans="1:21" ht="15.75" customHeight="1" x14ac:dyDescent="0.25">
      <c r="A55" t="s">
        <v>25</v>
      </c>
      <c r="B55" t="s">
        <v>61</v>
      </c>
      <c r="C55" t="s">
        <v>38</v>
      </c>
      <c r="D55" t="s">
        <v>68</v>
      </c>
      <c r="E55" t="s">
        <v>16</v>
      </c>
      <c r="F55" t="s">
        <v>17</v>
      </c>
      <c r="G55" t="s">
        <v>33</v>
      </c>
      <c r="H55" s="1">
        <v>9.34</v>
      </c>
      <c r="I55" s="2">
        <v>19209</v>
      </c>
      <c r="J55" s="2">
        <v>11469</v>
      </c>
      <c r="K55" s="2">
        <v>45</v>
      </c>
      <c r="L55" s="2">
        <v>957</v>
      </c>
      <c r="M55" s="2">
        <v>937</v>
      </c>
      <c r="N55" s="2">
        <v>28</v>
      </c>
      <c r="O55" s="41">
        <v>4.9820400000000001E-2</v>
      </c>
      <c r="P55" s="6">
        <f t="shared" si="0"/>
        <v>4.8779218074860742E-2</v>
      </c>
      <c r="Q55" s="6">
        <v>4.8779218074860742E-2</v>
      </c>
      <c r="R55" s="32">
        <v>0.48623041282732055</v>
      </c>
      <c r="S55" s="7">
        <v>2.342651881930345E-3</v>
      </c>
      <c r="T55" s="7">
        <v>3.9236201935652628E-3</v>
      </c>
      <c r="U55" t="s">
        <v>73</v>
      </c>
    </row>
    <row r="56" spans="1:21" ht="15.75" customHeight="1" x14ac:dyDescent="0.25">
      <c r="A56" t="s">
        <v>25</v>
      </c>
      <c r="B56" t="s">
        <v>61</v>
      </c>
      <c r="C56" t="s">
        <v>38</v>
      </c>
      <c r="D56" t="s">
        <v>68</v>
      </c>
      <c r="E56" t="s">
        <v>20</v>
      </c>
      <c r="F56" t="s">
        <v>17</v>
      </c>
      <c r="G56" t="s">
        <v>33</v>
      </c>
      <c r="H56" s="1">
        <v>9.09</v>
      </c>
      <c r="I56" s="2">
        <v>11358</v>
      </c>
      <c r="J56" s="2">
        <v>7920</v>
      </c>
      <c r="K56" s="2">
        <v>41</v>
      </c>
      <c r="L56" s="2">
        <v>2266</v>
      </c>
      <c r="M56" s="2">
        <v>2243</v>
      </c>
      <c r="N56" s="2">
        <v>65</v>
      </c>
      <c r="O56" s="41">
        <v>0.19950696000000001</v>
      </c>
      <c r="P56" s="6">
        <f t="shared" si="0"/>
        <v>0.19748195104771968</v>
      </c>
      <c r="Q56" s="6">
        <v>0.19748195104771968</v>
      </c>
      <c r="R56" s="32">
        <v>0.80031695721077645</v>
      </c>
      <c r="S56" s="7">
        <v>3.609790456066209E-3</v>
      </c>
      <c r="T56" s="7">
        <v>5.1767676767676771E-3</v>
      </c>
      <c r="U56" t="s">
        <v>73</v>
      </c>
    </row>
    <row r="57" spans="1:21" ht="15.75" customHeight="1" x14ac:dyDescent="0.25">
      <c r="A57" t="s">
        <v>25</v>
      </c>
      <c r="B57" t="s">
        <v>61</v>
      </c>
      <c r="C57" t="s">
        <v>38</v>
      </c>
      <c r="D57" t="s">
        <v>68</v>
      </c>
      <c r="E57" t="s">
        <v>20</v>
      </c>
      <c r="F57" t="s">
        <v>17</v>
      </c>
      <c r="G57" t="s">
        <v>33</v>
      </c>
      <c r="H57" s="1">
        <v>8.16</v>
      </c>
      <c r="I57" s="2">
        <v>8494</v>
      </c>
      <c r="J57" s="2">
        <v>4974</v>
      </c>
      <c r="K57" s="2">
        <v>30</v>
      </c>
      <c r="L57" s="2">
        <v>1810</v>
      </c>
      <c r="M57" s="2">
        <v>1797</v>
      </c>
      <c r="N57" s="2">
        <v>31</v>
      </c>
      <c r="O57" s="41">
        <v>0.21309159</v>
      </c>
      <c r="P57" s="6">
        <f t="shared" si="0"/>
        <v>0.21156110195432071</v>
      </c>
      <c r="Q57" s="6">
        <v>0.21156110195432071</v>
      </c>
      <c r="R57" s="32">
        <v>0.96067812573581357</v>
      </c>
      <c r="S57" s="7">
        <v>3.5319048740287263E-3</v>
      </c>
      <c r="T57" s="7">
        <v>6.0313630880579009E-3</v>
      </c>
      <c r="U57" t="s">
        <v>73</v>
      </c>
    </row>
    <row r="58" spans="1:21" ht="15.75" customHeight="1" x14ac:dyDescent="0.25">
      <c r="A58" t="s">
        <v>25</v>
      </c>
      <c r="B58" t="s">
        <v>61</v>
      </c>
      <c r="C58" t="s">
        <v>38</v>
      </c>
      <c r="D58" t="s">
        <v>68</v>
      </c>
      <c r="E58" t="s">
        <v>20</v>
      </c>
      <c r="F58" t="s">
        <v>17</v>
      </c>
      <c r="G58" t="s">
        <v>34</v>
      </c>
      <c r="H58" s="1">
        <v>7.95</v>
      </c>
      <c r="I58" s="2">
        <v>16456</v>
      </c>
      <c r="J58" s="2">
        <v>10435</v>
      </c>
      <c r="K58" s="2">
        <v>49</v>
      </c>
      <c r="L58" s="2">
        <v>366</v>
      </c>
      <c r="M58" s="2">
        <v>353</v>
      </c>
      <c r="N58" s="2">
        <v>15</v>
      </c>
      <c r="O58" s="41">
        <v>2.2241130000000001E-2</v>
      </c>
      <c r="P58" s="6">
        <f t="shared" si="0"/>
        <v>2.1451142440447254E-2</v>
      </c>
      <c r="Q58" s="6">
        <v>2.1451142440447254E-2</v>
      </c>
      <c r="R58" s="32">
        <v>0.48310646572678656</v>
      </c>
      <c r="S58" s="7">
        <v>2.9776373359261059E-3</v>
      </c>
      <c r="T58" s="7">
        <v>4.6957355055103024E-3</v>
      </c>
      <c r="U58" t="s">
        <v>73</v>
      </c>
    </row>
    <row r="59" spans="1:21" ht="15.75" customHeight="1" x14ac:dyDescent="0.25">
      <c r="A59" t="s">
        <v>25</v>
      </c>
      <c r="B59" t="s">
        <v>61</v>
      </c>
      <c r="C59" t="s">
        <v>38</v>
      </c>
      <c r="D59" t="s">
        <v>68</v>
      </c>
      <c r="E59" t="s">
        <v>20</v>
      </c>
      <c r="F59" t="s">
        <v>17</v>
      </c>
      <c r="G59" t="s">
        <v>34</v>
      </c>
      <c r="H59" s="1">
        <v>7.27</v>
      </c>
      <c r="I59" s="2">
        <v>14376</v>
      </c>
      <c r="J59" s="2">
        <v>9954</v>
      </c>
      <c r="K59" s="2">
        <v>34</v>
      </c>
      <c r="L59" s="2">
        <v>441</v>
      </c>
      <c r="M59" s="2">
        <v>422</v>
      </c>
      <c r="N59" s="2">
        <v>21</v>
      </c>
      <c r="O59" s="41">
        <v>3.0676129999999999E-2</v>
      </c>
      <c r="P59" s="6">
        <f t="shared" si="0"/>
        <v>2.9354479688369503E-2</v>
      </c>
      <c r="Q59" s="6">
        <v>2.9354479688369503E-2</v>
      </c>
      <c r="R59" s="32">
        <v>0.50570395102949361</v>
      </c>
      <c r="S59" s="7">
        <v>2.3650528658875902E-3</v>
      </c>
      <c r="T59" s="7">
        <v>3.41571227647177E-3</v>
      </c>
      <c r="U59" t="s">
        <v>73</v>
      </c>
    </row>
    <row r="60" spans="1:21" ht="15.75" customHeight="1" x14ac:dyDescent="0.25">
      <c r="A60" t="s">
        <v>25</v>
      </c>
      <c r="B60" t="s">
        <v>61</v>
      </c>
      <c r="C60" t="s">
        <v>38</v>
      </c>
      <c r="D60" t="s">
        <v>68</v>
      </c>
      <c r="E60" t="s">
        <v>16</v>
      </c>
      <c r="F60" t="s">
        <v>17</v>
      </c>
      <c r="G60" t="s">
        <v>34</v>
      </c>
      <c r="H60" s="1">
        <v>6.71</v>
      </c>
      <c r="I60" s="2">
        <v>13427</v>
      </c>
      <c r="J60" s="2">
        <v>8952</v>
      </c>
      <c r="K60" s="2">
        <v>35</v>
      </c>
      <c r="L60" s="2">
        <v>462</v>
      </c>
      <c r="M60" s="2">
        <v>451</v>
      </c>
      <c r="N60" s="2">
        <v>20</v>
      </c>
      <c r="O60" s="41">
        <v>3.4408279999999999E-2</v>
      </c>
      <c r="P60" s="6">
        <f t="shared" si="0"/>
        <v>3.358903701496984E-2</v>
      </c>
      <c r="Q60" s="6">
        <v>3.358903701496984E-2</v>
      </c>
      <c r="R60" s="32">
        <v>0.49973933119833169</v>
      </c>
      <c r="S60" s="7">
        <v>2.6066880166828034E-3</v>
      </c>
      <c r="T60" s="7">
        <v>3.9097408400357459E-3</v>
      </c>
      <c r="U60" t="s">
        <v>73</v>
      </c>
    </row>
    <row r="61" spans="1:21" ht="15.75" customHeight="1" x14ac:dyDescent="0.25">
      <c r="A61" t="s">
        <v>25</v>
      </c>
      <c r="B61" t="s">
        <v>61</v>
      </c>
      <c r="C61" t="s">
        <v>38</v>
      </c>
      <c r="D61" t="s">
        <v>68</v>
      </c>
      <c r="E61" t="s">
        <v>16</v>
      </c>
      <c r="F61" t="s">
        <v>17</v>
      </c>
      <c r="G61" t="s">
        <v>33</v>
      </c>
      <c r="H61" s="1">
        <v>6.57</v>
      </c>
      <c r="I61" s="2">
        <v>13881</v>
      </c>
      <c r="J61" s="2">
        <v>8550</v>
      </c>
      <c r="K61" s="2">
        <v>40</v>
      </c>
      <c r="L61" s="2">
        <v>597</v>
      </c>
      <c r="M61" s="2">
        <v>582</v>
      </c>
      <c r="N61" s="2">
        <v>20</v>
      </c>
      <c r="O61" s="41">
        <v>4.300843E-2</v>
      </c>
      <c r="P61" s="6">
        <f t="shared" si="0"/>
        <v>4.1927814998919385E-2</v>
      </c>
      <c r="Q61" s="6">
        <v>4.1927814998919385E-2</v>
      </c>
      <c r="R61" s="32">
        <v>0.47330883942079105</v>
      </c>
      <c r="S61" s="7">
        <v>2.8816367696851814E-3</v>
      </c>
      <c r="T61" s="7">
        <v>4.6783625730994153E-3</v>
      </c>
      <c r="U61" t="s">
        <v>73</v>
      </c>
    </row>
    <row r="62" spans="1:21" ht="15.75" customHeight="1" x14ac:dyDescent="0.25">
      <c r="A62" t="s">
        <v>25</v>
      </c>
      <c r="B62" t="s">
        <v>61</v>
      </c>
      <c r="C62" t="s">
        <v>38</v>
      </c>
      <c r="D62" t="s">
        <v>68</v>
      </c>
      <c r="E62" t="s">
        <v>16</v>
      </c>
      <c r="F62" t="s">
        <v>17</v>
      </c>
      <c r="G62" t="s">
        <v>33</v>
      </c>
      <c r="H62" s="1">
        <v>6.42</v>
      </c>
      <c r="I62" s="2">
        <v>4023</v>
      </c>
      <c r="J62" s="2">
        <v>3096</v>
      </c>
      <c r="K62" s="2">
        <v>24</v>
      </c>
      <c r="L62" s="2">
        <v>1486</v>
      </c>
      <c r="M62" s="2">
        <v>1465</v>
      </c>
      <c r="N62" s="2">
        <v>22</v>
      </c>
      <c r="O62" s="41">
        <v>0.36937608999999999</v>
      </c>
      <c r="P62" s="6">
        <f t="shared" si="0"/>
        <v>0.364156102411136</v>
      </c>
      <c r="Q62" s="6">
        <v>0.364156102411136</v>
      </c>
      <c r="R62" s="32">
        <v>1.5958240119313944</v>
      </c>
      <c r="S62" s="7">
        <v>5.9656972408650257E-3</v>
      </c>
      <c r="T62" s="7">
        <v>7.7519379844961239E-3</v>
      </c>
      <c r="U62" t="s">
        <v>73</v>
      </c>
    </row>
    <row r="63" spans="1:21" ht="15.75" customHeight="1" x14ac:dyDescent="0.25">
      <c r="A63" t="s">
        <v>25</v>
      </c>
      <c r="B63" t="s">
        <v>61</v>
      </c>
      <c r="C63" t="s">
        <v>15</v>
      </c>
      <c r="D63" t="s">
        <v>67</v>
      </c>
      <c r="E63" t="s">
        <v>16</v>
      </c>
      <c r="F63" t="s">
        <v>41</v>
      </c>
      <c r="G63" t="s">
        <v>34</v>
      </c>
      <c r="H63" s="1">
        <v>6.07</v>
      </c>
      <c r="I63" s="2">
        <v>12336</v>
      </c>
      <c r="J63" s="2">
        <v>9862</v>
      </c>
      <c r="K63" s="2">
        <v>17</v>
      </c>
      <c r="L63" s="2">
        <v>398</v>
      </c>
      <c r="M63" s="2">
        <v>390</v>
      </c>
      <c r="N63" s="2">
        <v>400</v>
      </c>
      <c r="O63" s="41">
        <v>3.226329E-2</v>
      </c>
      <c r="P63" s="6">
        <f t="shared" si="0"/>
        <v>3.1614785992217898E-2</v>
      </c>
      <c r="Q63" s="6">
        <v>3.1614785992217898E-2</v>
      </c>
      <c r="R63" s="32">
        <v>0.49205577172503245</v>
      </c>
      <c r="S63" s="7">
        <v>1.3780804150453957E-3</v>
      </c>
      <c r="T63" s="7">
        <v>1.7237882782397079E-3</v>
      </c>
      <c r="U63" t="s">
        <v>73</v>
      </c>
    </row>
    <row r="64" spans="1:21" ht="15.75" customHeight="1" x14ac:dyDescent="0.25">
      <c r="A64" t="s">
        <v>25</v>
      </c>
      <c r="B64" t="s">
        <v>61</v>
      </c>
      <c r="C64" t="s">
        <v>38</v>
      </c>
      <c r="D64" t="s">
        <v>68</v>
      </c>
      <c r="E64" t="s">
        <v>20</v>
      </c>
      <c r="F64" t="s">
        <v>17</v>
      </c>
      <c r="G64" t="s">
        <v>34</v>
      </c>
      <c r="H64" s="1">
        <v>5.22</v>
      </c>
      <c r="I64" s="2">
        <v>10316</v>
      </c>
      <c r="J64" s="2">
        <v>7006</v>
      </c>
      <c r="K64" s="2">
        <v>18</v>
      </c>
      <c r="L64" s="2">
        <v>214</v>
      </c>
      <c r="M64" s="2">
        <v>207</v>
      </c>
      <c r="N64" s="2">
        <v>172</v>
      </c>
      <c r="O64" s="41">
        <v>2.0744470000000001E-2</v>
      </c>
      <c r="P64" s="6">
        <f t="shared" si="0"/>
        <v>2.006591702210159E-2</v>
      </c>
      <c r="Q64" s="6">
        <v>2.006591702210159E-2</v>
      </c>
      <c r="R64" s="32">
        <v>0.50601008142690962</v>
      </c>
      <c r="S64" s="7">
        <v>1.7448623497479643E-3</v>
      </c>
      <c r="T64" s="7">
        <v>2.5692263773908078E-3</v>
      </c>
      <c r="U64" t="s">
        <v>73</v>
      </c>
    </row>
    <row r="65" spans="1:21" ht="15.75" customHeight="1" x14ac:dyDescent="0.25">
      <c r="A65" t="s">
        <v>25</v>
      </c>
      <c r="B65" t="s">
        <v>61</v>
      </c>
      <c r="C65" t="s">
        <v>38</v>
      </c>
      <c r="D65" t="s">
        <v>68</v>
      </c>
      <c r="E65" t="s">
        <v>20</v>
      </c>
      <c r="F65" t="s">
        <v>17</v>
      </c>
      <c r="G65" t="s">
        <v>34</v>
      </c>
      <c r="H65" s="1">
        <v>4.91</v>
      </c>
      <c r="I65" s="2">
        <v>2801</v>
      </c>
      <c r="J65" s="2">
        <v>2420</v>
      </c>
      <c r="K65" s="2">
        <v>15</v>
      </c>
      <c r="L65" s="2">
        <v>2075</v>
      </c>
      <c r="M65" s="2">
        <v>2063</v>
      </c>
      <c r="N65" s="2">
        <v>6</v>
      </c>
      <c r="O65" s="41">
        <v>0.74080685000000002</v>
      </c>
      <c r="P65" s="6">
        <f t="shared" si="0"/>
        <v>0.73652267047483044</v>
      </c>
      <c r="Q65" s="6">
        <v>0.73652267047483044</v>
      </c>
      <c r="R65" s="32">
        <v>1.752945376651196</v>
      </c>
      <c r="S65" s="7">
        <v>5.3552302749018208E-3</v>
      </c>
      <c r="T65" s="7">
        <v>6.1983471074380167E-3</v>
      </c>
      <c r="U65" t="s">
        <v>73</v>
      </c>
    </row>
    <row r="66" spans="1:21" ht="15.75" customHeight="1" x14ac:dyDescent="0.25">
      <c r="A66" t="s">
        <v>25</v>
      </c>
      <c r="B66" t="s">
        <v>61</v>
      </c>
      <c r="C66" t="s">
        <v>38</v>
      </c>
      <c r="D66" t="s">
        <v>68</v>
      </c>
      <c r="E66" t="s">
        <v>20</v>
      </c>
      <c r="F66" t="s">
        <v>17</v>
      </c>
      <c r="G66" t="s">
        <v>18</v>
      </c>
      <c r="H66" s="1">
        <v>4.09</v>
      </c>
      <c r="I66" s="2">
        <v>9418</v>
      </c>
      <c r="J66" s="2">
        <v>7266</v>
      </c>
      <c r="K66" s="2">
        <v>4</v>
      </c>
      <c r="L66" s="2">
        <v>380</v>
      </c>
      <c r="M66" s="2">
        <v>375</v>
      </c>
      <c r="N66" s="2">
        <v>10</v>
      </c>
      <c r="O66" s="41">
        <v>4.0348269999999999E-2</v>
      </c>
      <c r="P66" s="6">
        <f t="shared" si="0"/>
        <v>3.981737099171799E-2</v>
      </c>
      <c r="Q66" s="6">
        <v>3.981737099171799E-2</v>
      </c>
      <c r="R66" s="32">
        <v>0.43427479294967081</v>
      </c>
      <c r="S66" s="7">
        <v>4.2471862391165854E-4</v>
      </c>
      <c r="T66" s="7">
        <v>5.5050922102945225E-4</v>
      </c>
      <c r="U66" t="s">
        <v>73</v>
      </c>
    </row>
    <row r="67" spans="1:21" ht="15.75" customHeight="1" x14ac:dyDescent="0.25">
      <c r="A67" t="s">
        <v>25</v>
      </c>
      <c r="B67" t="s">
        <v>61</v>
      </c>
      <c r="C67" t="s">
        <v>38</v>
      </c>
      <c r="D67" t="s">
        <v>68</v>
      </c>
      <c r="E67" t="s">
        <v>16</v>
      </c>
      <c r="F67" t="s">
        <v>17</v>
      </c>
      <c r="G67" t="s">
        <v>18</v>
      </c>
      <c r="H67" s="1">
        <v>3.58</v>
      </c>
      <c r="I67" s="2">
        <v>7800</v>
      </c>
      <c r="J67" s="2">
        <v>5814</v>
      </c>
      <c r="K67" s="2">
        <v>1</v>
      </c>
      <c r="L67" s="2">
        <v>202</v>
      </c>
      <c r="M67" s="2">
        <v>199</v>
      </c>
      <c r="N67" s="2">
        <v>1</v>
      </c>
      <c r="O67" s="41">
        <v>2.5897440000000001E-2</v>
      </c>
      <c r="P67" s="6">
        <f t="shared" ref="P67:P130" si="1">M67/I67</f>
        <v>2.5512820512820514E-2</v>
      </c>
      <c r="Q67" s="6">
        <v>2.5512820512820514E-2</v>
      </c>
      <c r="R67" s="32">
        <v>0.45897435897435901</v>
      </c>
      <c r="S67" s="7">
        <v>1.2820512820512821E-4</v>
      </c>
      <c r="T67" s="7">
        <v>1.7199862401100791E-4</v>
      </c>
      <c r="U67" t="s">
        <v>73</v>
      </c>
    </row>
    <row r="68" spans="1:21" ht="15.75" customHeight="1" x14ac:dyDescent="0.25">
      <c r="A68" t="s">
        <v>25</v>
      </c>
      <c r="B68" t="s">
        <v>61</v>
      </c>
      <c r="C68" t="s">
        <v>38</v>
      </c>
      <c r="D68" t="s">
        <v>68</v>
      </c>
      <c r="E68" t="s">
        <v>16</v>
      </c>
      <c r="F68" t="s">
        <v>17</v>
      </c>
      <c r="G68" t="s">
        <v>18</v>
      </c>
      <c r="H68" s="1">
        <v>3.45</v>
      </c>
      <c r="I68" s="2">
        <v>8653</v>
      </c>
      <c r="J68" s="2">
        <v>7593</v>
      </c>
      <c r="K68" s="2">
        <v>5</v>
      </c>
      <c r="L68" s="2">
        <v>479</v>
      </c>
      <c r="M68" s="2">
        <v>477</v>
      </c>
      <c r="N68" s="2">
        <v>12</v>
      </c>
      <c r="O68" s="41">
        <v>5.5356519999999999E-2</v>
      </c>
      <c r="P68" s="6">
        <f t="shared" si="1"/>
        <v>5.5125390038137059E-2</v>
      </c>
      <c r="Q68" s="6">
        <v>5.5125390038137059E-2</v>
      </c>
      <c r="R68" s="32">
        <v>0.39870565121923035</v>
      </c>
      <c r="S68" s="7">
        <v>5.7783427712931933E-4</v>
      </c>
      <c r="T68" s="7">
        <v>6.5850125115237714E-4</v>
      </c>
      <c r="U68" t="s">
        <v>73</v>
      </c>
    </row>
    <row r="69" spans="1:21" ht="15.75" customHeight="1" x14ac:dyDescent="0.25">
      <c r="A69" t="s">
        <v>25</v>
      </c>
      <c r="B69" t="s">
        <v>61</v>
      </c>
      <c r="C69" t="s">
        <v>38</v>
      </c>
      <c r="D69" t="s">
        <v>68</v>
      </c>
      <c r="E69" t="s">
        <v>20</v>
      </c>
      <c r="F69" t="s">
        <v>17</v>
      </c>
      <c r="G69" t="s">
        <v>18</v>
      </c>
      <c r="H69" s="1">
        <v>2.99</v>
      </c>
      <c r="I69" s="2">
        <v>6369</v>
      </c>
      <c r="J69" s="2">
        <v>4957</v>
      </c>
      <c r="K69" s="2">
        <v>4</v>
      </c>
      <c r="L69" s="2">
        <v>216</v>
      </c>
      <c r="M69" s="2">
        <v>213</v>
      </c>
      <c r="N69" s="2">
        <v>3</v>
      </c>
      <c r="O69" s="41">
        <v>3.3914270000000003E-2</v>
      </c>
      <c r="P69" s="6">
        <f t="shared" si="1"/>
        <v>3.344324069712671E-2</v>
      </c>
      <c r="Q69" s="6">
        <v>3.344324069712671E-2</v>
      </c>
      <c r="R69" s="32">
        <v>0.46946145391741251</v>
      </c>
      <c r="S69" s="7">
        <v>6.2804207881928084E-4</v>
      </c>
      <c r="T69" s="7">
        <v>8.0693968125882594E-4</v>
      </c>
      <c r="U69" t="s">
        <v>73</v>
      </c>
    </row>
    <row r="70" spans="1:21" ht="15.75" customHeight="1" x14ac:dyDescent="0.25">
      <c r="A70" t="s">
        <v>25</v>
      </c>
      <c r="B70" t="s">
        <v>61</v>
      </c>
      <c r="C70" t="s">
        <v>15</v>
      </c>
      <c r="D70" t="s">
        <v>67</v>
      </c>
      <c r="E70" t="s">
        <v>20</v>
      </c>
      <c r="F70" t="s">
        <v>17</v>
      </c>
      <c r="G70" t="s">
        <v>18</v>
      </c>
      <c r="H70" s="1">
        <v>2.8</v>
      </c>
      <c r="I70" s="2">
        <v>6173</v>
      </c>
      <c r="J70" s="2">
        <v>4605</v>
      </c>
      <c r="K70" s="2">
        <v>0</v>
      </c>
      <c r="L70" s="2">
        <v>133</v>
      </c>
      <c r="M70" s="2">
        <v>133</v>
      </c>
      <c r="N70" s="2">
        <v>0</v>
      </c>
      <c r="O70" s="41">
        <v>2.1545439999999999E-2</v>
      </c>
      <c r="P70" s="6">
        <f t="shared" si="1"/>
        <v>2.1545439818564719E-2</v>
      </c>
      <c r="Q70" s="6">
        <v>2.1545439818564719E-2</v>
      </c>
      <c r="R70" s="32">
        <v>0.45358820670662559</v>
      </c>
      <c r="S70" s="7">
        <v>0</v>
      </c>
      <c r="T70" s="7">
        <v>0</v>
      </c>
      <c r="U70" t="s">
        <v>73</v>
      </c>
    </row>
    <row r="71" spans="1:21" ht="15.75" customHeight="1" x14ac:dyDescent="0.25">
      <c r="A71" t="s">
        <v>25</v>
      </c>
      <c r="B71" t="s">
        <v>61</v>
      </c>
      <c r="C71" t="s">
        <v>38</v>
      </c>
      <c r="D71" t="s">
        <v>68</v>
      </c>
      <c r="E71" t="s">
        <v>16</v>
      </c>
      <c r="F71" t="s">
        <v>17</v>
      </c>
      <c r="G71" t="s">
        <v>34</v>
      </c>
      <c r="H71" s="1">
        <v>2.79</v>
      </c>
      <c r="I71" s="2">
        <v>1784</v>
      </c>
      <c r="J71" s="2">
        <v>1601</v>
      </c>
      <c r="K71" s="2">
        <v>13</v>
      </c>
      <c r="L71" s="2">
        <v>748</v>
      </c>
      <c r="M71" s="2">
        <v>737</v>
      </c>
      <c r="N71" s="2">
        <v>3</v>
      </c>
      <c r="O71" s="41">
        <v>0.41928251</v>
      </c>
      <c r="P71" s="6">
        <f t="shared" si="1"/>
        <v>0.41311659192825112</v>
      </c>
      <c r="Q71" s="6">
        <v>0.41311659192825112</v>
      </c>
      <c r="R71" s="32">
        <v>1.5639013452914798</v>
      </c>
      <c r="S71" s="7">
        <v>7.2869955156950675E-3</v>
      </c>
      <c r="T71" s="7">
        <v>8.1199250468457218E-3</v>
      </c>
      <c r="U71" t="s">
        <v>73</v>
      </c>
    </row>
    <row r="72" spans="1:21" ht="15.75" customHeight="1" x14ac:dyDescent="0.25">
      <c r="A72" t="s">
        <v>25</v>
      </c>
      <c r="B72" t="s">
        <v>61</v>
      </c>
      <c r="C72" t="s">
        <v>38</v>
      </c>
      <c r="D72" t="s">
        <v>68</v>
      </c>
      <c r="E72" t="s">
        <v>20</v>
      </c>
      <c r="F72" t="s">
        <v>17</v>
      </c>
      <c r="G72" t="s">
        <v>34</v>
      </c>
      <c r="H72" s="1">
        <v>2.41</v>
      </c>
      <c r="I72" s="2">
        <v>2322</v>
      </c>
      <c r="J72" s="2">
        <v>1952</v>
      </c>
      <c r="K72" s="2">
        <v>14</v>
      </c>
      <c r="L72" s="2">
        <v>849</v>
      </c>
      <c r="M72" s="2">
        <v>836</v>
      </c>
      <c r="N72" s="2">
        <v>3</v>
      </c>
      <c r="O72" s="41">
        <v>0.36563307</v>
      </c>
      <c r="P72" s="6">
        <f t="shared" si="1"/>
        <v>0.36003445305770887</v>
      </c>
      <c r="Q72" s="6">
        <v>0.36003445305770887</v>
      </c>
      <c r="R72" s="32">
        <v>1.0378983634797589</v>
      </c>
      <c r="S72" s="7">
        <v>6.029285099052541E-3</v>
      </c>
      <c r="T72" s="7">
        <v>7.1721311475409838E-3</v>
      </c>
      <c r="U72" t="s">
        <v>73</v>
      </c>
    </row>
    <row r="73" spans="1:21" ht="15.75" customHeight="1" x14ac:dyDescent="0.25">
      <c r="A73" t="s">
        <v>25</v>
      </c>
      <c r="B73" t="s">
        <v>61</v>
      </c>
      <c r="C73" t="s">
        <v>15</v>
      </c>
      <c r="D73" t="s">
        <v>67</v>
      </c>
      <c r="E73" t="s">
        <v>20</v>
      </c>
      <c r="F73" t="s">
        <v>17</v>
      </c>
      <c r="G73" t="s">
        <v>34</v>
      </c>
      <c r="H73" s="1">
        <v>2.36</v>
      </c>
      <c r="I73" s="2">
        <v>2853</v>
      </c>
      <c r="J73" s="2">
        <v>2378</v>
      </c>
      <c r="K73" s="2">
        <v>9</v>
      </c>
      <c r="L73" s="2">
        <v>194</v>
      </c>
      <c r="M73" s="2">
        <v>194</v>
      </c>
      <c r="N73" s="2">
        <v>156</v>
      </c>
      <c r="O73" s="41">
        <v>6.7998600000000006E-2</v>
      </c>
      <c r="P73" s="6">
        <f t="shared" si="1"/>
        <v>6.7998597967052224E-2</v>
      </c>
      <c r="Q73" s="6">
        <v>6.7998597967052224E-2</v>
      </c>
      <c r="R73" s="32">
        <v>0.82719943918682082</v>
      </c>
      <c r="S73" s="7">
        <v>3.1545741324921135E-3</v>
      </c>
      <c r="T73" s="7">
        <v>3.784693019343986E-3</v>
      </c>
      <c r="U73" t="s">
        <v>73</v>
      </c>
    </row>
    <row r="74" spans="1:21" ht="15.75" customHeight="1" x14ac:dyDescent="0.25">
      <c r="A74" t="s">
        <v>25</v>
      </c>
      <c r="B74" t="s">
        <v>61</v>
      </c>
      <c r="C74" t="s">
        <v>38</v>
      </c>
      <c r="D74" t="s">
        <v>68</v>
      </c>
      <c r="E74" t="s">
        <v>16</v>
      </c>
      <c r="F74" t="s">
        <v>17</v>
      </c>
      <c r="G74" t="s">
        <v>34</v>
      </c>
      <c r="H74" s="1">
        <v>2.21</v>
      </c>
      <c r="I74" s="2">
        <v>1775</v>
      </c>
      <c r="J74" s="2">
        <v>1549</v>
      </c>
      <c r="K74" s="2">
        <v>7</v>
      </c>
      <c r="L74" s="2">
        <v>725</v>
      </c>
      <c r="M74" s="2">
        <v>719</v>
      </c>
      <c r="N74" s="2">
        <v>7</v>
      </c>
      <c r="O74" s="41">
        <v>0.4084507</v>
      </c>
      <c r="P74" s="6">
        <f t="shared" si="1"/>
        <v>0.40507042253521125</v>
      </c>
      <c r="Q74" s="6">
        <v>0.40507042253521125</v>
      </c>
      <c r="R74" s="32">
        <v>1.2450704225352114</v>
      </c>
      <c r="S74" s="7">
        <v>3.9436619718309857E-3</v>
      </c>
      <c r="T74" s="7">
        <v>4.5190445448676569E-3</v>
      </c>
      <c r="U74" t="s">
        <v>73</v>
      </c>
    </row>
    <row r="75" spans="1:21" ht="15.75" customHeight="1" x14ac:dyDescent="0.25">
      <c r="A75" t="s">
        <v>25</v>
      </c>
      <c r="B75" t="s">
        <v>61</v>
      </c>
      <c r="C75" t="s">
        <v>38</v>
      </c>
      <c r="D75" t="s">
        <v>68</v>
      </c>
      <c r="E75" t="s">
        <v>20</v>
      </c>
      <c r="F75" t="s">
        <v>17</v>
      </c>
      <c r="G75" t="s">
        <v>33</v>
      </c>
      <c r="H75" s="1">
        <v>2.04</v>
      </c>
      <c r="I75" s="2">
        <v>2345</v>
      </c>
      <c r="J75" s="2">
        <v>1443</v>
      </c>
      <c r="K75" s="2">
        <v>9</v>
      </c>
      <c r="L75" s="2">
        <v>570</v>
      </c>
      <c r="M75" s="2">
        <v>566</v>
      </c>
      <c r="N75" s="2">
        <v>1</v>
      </c>
      <c r="O75" s="41">
        <v>0.24307036000000001</v>
      </c>
      <c r="P75" s="6">
        <f t="shared" si="1"/>
        <v>0.24136460554371003</v>
      </c>
      <c r="Q75" s="6">
        <v>0.24136460554371003</v>
      </c>
      <c r="R75" s="32">
        <v>0.86993603411513865</v>
      </c>
      <c r="S75" s="7">
        <v>3.8379530916844351E-3</v>
      </c>
      <c r="T75" s="7">
        <v>6.2370062370062374E-3</v>
      </c>
      <c r="U75" t="s">
        <v>73</v>
      </c>
    </row>
    <row r="76" spans="1:21" ht="15.75" customHeight="1" x14ac:dyDescent="0.25">
      <c r="A76" t="s">
        <v>25</v>
      </c>
      <c r="B76" t="s">
        <v>61</v>
      </c>
      <c r="C76" t="s">
        <v>38</v>
      </c>
      <c r="D76" t="s">
        <v>68</v>
      </c>
      <c r="E76" t="s">
        <v>16</v>
      </c>
      <c r="F76" t="s">
        <v>17</v>
      </c>
      <c r="G76" t="s">
        <v>18</v>
      </c>
      <c r="H76" s="1">
        <v>1.99</v>
      </c>
      <c r="I76" s="2">
        <v>4491</v>
      </c>
      <c r="J76" s="2">
        <v>3682</v>
      </c>
      <c r="K76" s="2">
        <v>1</v>
      </c>
      <c r="L76" s="2">
        <v>171</v>
      </c>
      <c r="M76" s="2">
        <v>170</v>
      </c>
      <c r="N76" s="2">
        <v>1</v>
      </c>
      <c r="O76" s="41">
        <v>3.8076150000000003E-2</v>
      </c>
      <c r="P76" s="6">
        <f t="shared" si="1"/>
        <v>3.785348474727232E-2</v>
      </c>
      <c r="Q76" s="6">
        <v>3.785348474727232E-2</v>
      </c>
      <c r="R76" s="32">
        <v>0.44310843910042308</v>
      </c>
      <c r="S76" s="7">
        <v>2.2266755733689602E-4</v>
      </c>
      <c r="T76" s="7">
        <v>2.7159152634437798E-4</v>
      </c>
      <c r="U76" t="s">
        <v>73</v>
      </c>
    </row>
    <row r="77" spans="1:21" ht="15.75" customHeight="1" x14ac:dyDescent="0.25">
      <c r="A77" t="s">
        <v>25</v>
      </c>
      <c r="B77" t="s">
        <v>61</v>
      </c>
      <c r="C77" t="s">
        <v>38</v>
      </c>
      <c r="D77" t="s">
        <v>68</v>
      </c>
      <c r="E77" t="s">
        <v>20</v>
      </c>
      <c r="F77" t="s">
        <v>41</v>
      </c>
      <c r="G77" t="s">
        <v>34</v>
      </c>
      <c r="H77" s="1">
        <v>1.82</v>
      </c>
      <c r="I77" s="2">
        <v>4196</v>
      </c>
      <c r="J77" s="2">
        <v>2804</v>
      </c>
      <c r="K77" s="2">
        <v>7</v>
      </c>
      <c r="L77" s="2">
        <v>200</v>
      </c>
      <c r="M77" s="2">
        <v>197</v>
      </c>
      <c r="N77" s="2">
        <v>195</v>
      </c>
      <c r="O77" s="41">
        <v>4.7664440000000002E-2</v>
      </c>
      <c r="P77" s="6">
        <f t="shared" si="1"/>
        <v>4.6949475691134411E-2</v>
      </c>
      <c r="Q77" s="6">
        <v>4.6949475691134411E-2</v>
      </c>
      <c r="R77" s="32">
        <v>0.43374642516682554</v>
      </c>
      <c r="S77" s="7">
        <v>1.6682554814108675E-3</v>
      </c>
      <c r="T77" s="7">
        <v>2.4964336661911549E-3</v>
      </c>
      <c r="U77" t="s">
        <v>73</v>
      </c>
    </row>
    <row r="78" spans="1:21" ht="15.75" customHeight="1" x14ac:dyDescent="0.25">
      <c r="A78" t="s">
        <v>25</v>
      </c>
      <c r="B78" t="s">
        <v>61</v>
      </c>
      <c r="C78" t="s">
        <v>38</v>
      </c>
      <c r="D78" t="s">
        <v>68</v>
      </c>
      <c r="E78" t="s">
        <v>16</v>
      </c>
      <c r="F78" t="s">
        <v>17</v>
      </c>
      <c r="G78" t="s">
        <v>34</v>
      </c>
      <c r="H78" s="1">
        <v>1.49</v>
      </c>
      <c r="I78" s="2">
        <v>1013</v>
      </c>
      <c r="J78" s="2">
        <v>940</v>
      </c>
      <c r="K78" s="2">
        <v>5</v>
      </c>
      <c r="L78" s="2">
        <v>433</v>
      </c>
      <c r="M78" s="2">
        <v>428</v>
      </c>
      <c r="N78" s="2">
        <v>2</v>
      </c>
      <c r="O78" s="41">
        <v>0.42744324</v>
      </c>
      <c r="P78" s="6">
        <f t="shared" si="1"/>
        <v>0.42250740375123397</v>
      </c>
      <c r="Q78" s="6">
        <v>0.42250740375123397</v>
      </c>
      <c r="R78" s="32">
        <v>1.4708785784797631</v>
      </c>
      <c r="S78" s="7">
        <v>4.9358341559723592E-3</v>
      </c>
      <c r="T78" s="7">
        <v>5.3191489361702126E-3</v>
      </c>
      <c r="U78" t="s">
        <v>73</v>
      </c>
    </row>
    <row r="79" spans="1:21" ht="15.75" customHeight="1" x14ac:dyDescent="0.25">
      <c r="A79" t="s">
        <v>25</v>
      </c>
      <c r="B79" t="s">
        <v>61</v>
      </c>
      <c r="C79" t="s">
        <v>38</v>
      </c>
      <c r="D79" t="s">
        <v>68</v>
      </c>
      <c r="E79" t="s">
        <v>20</v>
      </c>
      <c r="F79" t="s">
        <v>17</v>
      </c>
      <c r="G79" t="s">
        <v>34</v>
      </c>
      <c r="H79" s="1">
        <v>1.46</v>
      </c>
      <c r="I79" s="2">
        <v>405</v>
      </c>
      <c r="J79" s="2">
        <v>381</v>
      </c>
      <c r="K79" s="2">
        <v>8</v>
      </c>
      <c r="L79" s="2">
        <v>286</v>
      </c>
      <c r="M79" s="2">
        <v>277</v>
      </c>
      <c r="N79" s="2">
        <v>0</v>
      </c>
      <c r="O79" s="41">
        <v>0.70617284000000002</v>
      </c>
      <c r="P79" s="6">
        <f t="shared" si="1"/>
        <v>0.68395061728395057</v>
      </c>
      <c r="Q79" s="6">
        <v>0.68395061728395057</v>
      </c>
      <c r="R79" s="32">
        <v>3.6049382716049378</v>
      </c>
      <c r="S79" s="7">
        <v>1.9753086419753086E-2</v>
      </c>
      <c r="T79" s="7">
        <v>2.0997375328083989E-2</v>
      </c>
      <c r="U79" t="s">
        <v>78</v>
      </c>
    </row>
    <row r="80" spans="1:21" ht="15.75" customHeight="1" x14ac:dyDescent="0.25">
      <c r="A80" t="s">
        <v>25</v>
      </c>
      <c r="B80" t="s">
        <v>61</v>
      </c>
      <c r="C80" t="s">
        <v>38</v>
      </c>
      <c r="D80" t="s">
        <v>68</v>
      </c>
      <c r="E80" t="s">
        <v>20</v>
      </c>
      <c r="F80" t="s">
        <v>17</v>
      </c>
      <c r="G80" t="s">
        <v>18</v>
      </c>
      <c r="H80" s="1">
        <v>1.41</v>
      </c>
      <c r="I80" s="2">
        <v>3208</v>
      </c>
      <c r="J80" s="2">
        <v>2670</v>
      </c>
      <c r="K80" s="2">
        <v>1</v>
      </c>
      <c r="L80" s="2">
        <v>77</v>
      </c>
      <c r="M80" s="2">
        <v>76</v>
      </c>
      <c r="N80" s="2">
        <v>1</v>
      </c>
      <c r="O80" s="41">
        <v>2.4002490000000001E-2</v>
      </c>
      <c r="P80" s="6">
        <f t="shared" si="1"/>
        <v>2.369077306733167E-2</v>
      </c>
      <c r="Q80" s="6">
        <v>2.369077306733167E-2</v>
      </c>
      <c r="R80" s="32">
        <v>0.43952618453865333</v>
      </c>
      <c r="S80" s="7">
        <v>3.1172069825436408E-4</v>
      </c>
      <c r="T80" s="7">
        <v>3.7453183520599252E-4</v>
      </c>
      <c r="U80" t="s">
        <v>73</v>
      </c>
    </row>
    <row r="81" spans="1:21" ht="15.75" customHeight="1" x14ac:dyDescent="0.25">
      <c r="A81" t="s">
        <v>25</v>
      </c>
      <c r="B81" t="s">
        <v>61</v>
      </c>
      <c r="C81" t="s">
        <v>38</v>
      </c>
      <c r="D81" t="s">
        <v>68</v>
      </c>
      <c r="E81" t="s">
        <v>16</v>
      </c>
      <c r="F81" t="s">
        <v>17</v>
      </c>
      <c r="G81" t="s">
        <v>33</v>
      </c>
      <c r="H81" s="1">
        <v>1.23</v>
      </c>
      <c r="I81" s="2">
        <v>1188</v>
      </c>
      <c r="J81" s="2">
        <v>1007</v>
      </c>
      <c r="K81" s="2">
        <v>7</v>
      </c>
      <c r="L81" s="2">
        <v>321</v>
      </c>
      <c r="M81" s="2">
        <v>316</v>
      </c>
      <c r="N81" s="2">
        <v>1</v>
      </c>
      <c r="O81" s="41">
        <v>0.27020201999999999</v>
      </c>
      <c r="P81" s="6">
        <f t="shared" si="1"/>
        <v>0.265993265993266</v>
      </c>
      <c r="Q81" s="6">
        <v>0.265993265993266</v>
      </c>
      <c r="R81" s="32">
        <v>1.0353535353535352</v>
      </c>
      <c r="S81" s="7">
        <v>5.8922558922558923E-3</v>
      </c>
      <c r="T81" s="7">
        <v>6.9513406156901684E-3</v>
      </c>
      <c r="U81" t="s">
        <v>73</v>
      </c>
    </row>
    <row r="82" spans="1:21" ht="15.75" customHeight="1" x14ac:dyDescent="0.25">
      <c r="A82" t="s">
        <v>25</v>
      </c>
      <c r="B82" t="s">
        <v>61</v>
      </c>
      <c r="C82" t="s">
        <v>15</v>
      </c>
      <c r="D82" t="s">
        <v>67</v>
      </c>
      <c r="E82" t="s">
        <v>16</v>
      </c>
      <c r="F82" t="s">
        <v>17</v>
      </c>
      <c r="G82" t="s">
        <v>34</v>
      </c>
      <c r="H82" s="1">
        <v>0.66</v>
      </c>
      <c r="I82" s="2">
        <v>641</v>
      </c>
      <c r="J82" s="2">
        <v>553</v>
      </c>
      <c r="K82" s="2">
        <v>4</v>
      </c>
      <c r="L82" s="2">
        <v>55</v>
      </c>
      <c r="M82" s="2">
        <v>53</v>
      </c>
      <c r="N82" s="2">
        <v>44</v>
      </c>
      <c r="O82" s="41">
        <v>8.580343E-2</v>
      </c>
      <c r="P82" s="6">
        <f t="shared" si="1"/>
        <v>8.2683307332293288E-2</v>
      </c>
      <c r="Q82" s="6">
        <v>8.2683307332293288E-2</v>
      </c>
      <c r="R82" s="32">
        <v>1.0296411856474259</v>
      </c>
      <c r="S82" s="7">
        <v>6.2402496099843996E-3</v>
      </c>
      <c r="T82" s="7">
        <v>7.2332730560578659E-3</v>
      </c>
      <c r="U82" t="s">
        <v>73</v>
      </c>
    </row>
    <row r="83" spans="1:21" ht="15.75" customHeight="1" x14ac:dyDescent="0.25">
      <c r="A83" t="s">
        <v>25</v>
      </c>
      <c r="B83" t="s">
        <v>61</v>
      </c>
      <c r="C83" t="s">
        <v>38</v>
      </c>
      <c r="D83" t="s">
        <v>68</v>
      </c>
      <c r="E83" t="s">
        <v>16</v>
      </c>
      <c r="F83" t="s">
        <v>41</v>
      </c>
      <c r="G83" t="s">
        <v>41</v>
      </c>
      <c r="H83" s="1">
        <v>0.32</v>
      </c>
      <c r="I83" s="2">
        <v>890</v>
      </c>
      <c r="J83" s="2">
        <v>698</v>
      </c>
      <c r="K83" s="2">
        <v>1</v>
      </c>
      <c r="L83" s="2">
        <v>43</v>
      </c>
      <c r="M83" s="2">
        <v>43</v>
      </c>
      <c r="N83" s="2">
        <v>40</v>
      </c>
      <c r="O83" s="41">
        <v>4.8314610000000001E-2</v>
      </c>
      <c r="P83" s="6">
        <f t="shared" si="1"/>
        <v>4.8314606741573035E-2</v>
      </c>
      <c r="Q83" s="6">
        <v>4.8314606741573035E-2</v>
      </c>
      <c r="R83" s="32">
        <v>0.35955056179775285</v>
      </c>
      <c r="S83" s="7">
        <v>1.1235955056179776E-3</v>
      </c>
      <c r="T83" s="7">
        <v>1.4326647564469909E-3</v>
      </c>
      <c r="U83" t="s">
        <v>73</v>
      </c>
    </row>
    <row r="84" spans="1:21" ht="15.75" customHeight="1" x14ac:dyDescent="0.25">
      <c r="A84" t="s">
        <v>25</v>
      </c>
      <c r="B84" t="s">
        <v>61</v>
      </c>
      <c r="C84" t="s">
        <v>15</v>
      </c>
      <c r="D84" t="s">
        <v>67</v>
      </c>
      <c r="E84" t="s">
        <v>16</v>
      </c>
      <c r="F84" t="s">
        <v>17</v>
      </c>
      <c r="G84" t="s">
        <v>18</v>
      </c>
      <c r="H84" s="1">
        <v>0.13</v>
      </c>
      <c r="I84" s="2">
        <v>1</v>
      </c>
      <c r="J84" s="2">
        <v>1</v>
      </c>
      <c r="K84" s="2">
        <v>0</v>
      </c>
      <c r="L84" s="2">
        <v>0</v>
      </c>
      <c r="M84" s="2">
        <v>0</v>
      </c>
      <c r="N84" s="2">
        <v>0</v>
      </c>
      <c r="O84" s="41">
        <v>0</v>
      </c>
      <c r="P84" s="6">
        <f t="shared" si="1"/>
        <v>0</v>
      </c>
      <c r="Q84" s="6">
        <v>0</v>
      </c>
      <c r="R84" s="32">
        <v>130</v>
      </c>
      <c r="S84" s="7">
        <v>0</v>
      </c>
      <c r="T84" s="7">
        <v>0</v>
      </c>
      <c r="U84" t="s">
        <v>73</v>
      </c>
    </row>
    <row r="85" spans="1:21" ht="15.75" customHeight="1" x14ac:dyDescent="0.25">
      <c r="A85" t="s">
        <v>25</v>
      </c>
      <c r="B85" t="s">
        <v>61</v>
      </c>
      <c r="C85" t="s">
        <v>38</v>
      </c>
      <c r="D85" t="s">
        <v>68</v>
      </c>
      <c r="E85" t="s">
        <v>20</v>
      </c>
      <c r="F85" t="s">
        <v>17</v>
      </c>
      <c r="G85" t="s">
        <v>34</v>
      </c>
      <c r="H85" s="1">
        <v>0.1</v>
      </c>
      <c r="I85" s="2">
        <v>164</v>
      </c>
      <c r="J85" s="2">
        <v>130</v>
      </c>
      <c r="K85" s="2">
        <v>0</v>
      </c>
      <c r="L85" s="2">
        <v>25</v>
      </c>
      <c r="M85" s="2">
        <v>25</v>
      </c>
      <c r="N85" s="2">
        <v>20</v>
      </c>
      <c r="O85" s="41">
        <v>0.15243902000000001</v>
      </c>
      <c r="P85" s="6">
        <f t="shared" si="1"/>
        <v>0.1524390243902439</v>
      </c>
      <c r="Q85" s="6">
        <v>0.1524390243902439</v>
      </c>
      <c r="R85" s="32">
        <v>0.6097560975609756</v>
      </c>
      <c r="S85" s="7">
        <v>0</v>
      </c>
      <c r="T85" s="7">
        <v>0</v>
      </c>
      <c r="U85" t="s">
        <v>73</v>
      </c>
    </row>
    <row r="86" spans="1:21" ht="15.75" customHeight="1" x14ac:dyDescent="0.25">
      <c r="A86" t="s">
        <v>25</v>
      </c>
      <c r="B86" t="s">
        <v>61</v>
      </c>
      <c r="C86" t="s">
        <v>38</v>
      </c>
      <c r="D86" t="s">
        <v>68</v>
      </c>
      <c r="E86" t="s">
        <v>16</v>
      </c>
      <c r="F86" t="s">
        <v>17</v>
      </c>
      <c r="G86" t="s">
        <v>18</v>
      </c>
      <c r="H86" s="1">
        <v>0.05</v>
      </c>
      <c r="I86" s="2">
        <v>1</v>
      </c>
      <c r="J86" s="2">
        <v>1</v>
      </c>
      <c r="K86" s="2">
        <v>0</v>
      </c>
      <c r="L86" s="2">
        <v>0</v>
      </c>
      <c r="M86" s="2">
        <v>0</v>
      </c>
      <c r="N86" s="2">
        <v>0</v>
      </c>
      <c r="O86" s="41">
        <v>0</v>
      </c>
      <c r="P86" s="6">
        <f t="shared" si="1"/>
        <v>0</v>
      </c>
      <c r="Q86" s="6">
        <v>0</v>
      </c>
      <c r="R86" s="32">
        <v>50</v>
      </c>
      <c r="S86" s="7">
        <v>0</v>
      </c>
      <c r="T86" s="7">
        <v>0</v>
      </c>
      <c r="U86" t="s">
        <v>73</v>
      </c>
    </row>
    <row r="87" spans="1:21" ht="15.75" customHeight="1" x14ac:dyDescent="0.25">
      <c r="A87" t="s">
        <v>25</v>
      </c>
      <c r="B87" t="s">
        <v>61</v>
      </c>
      <c r="C87" t="s">
        <v>15</v>
      </c>
      <c r="D87" t="s">
        <v>67</v>
      </c>
      <c r="E87" t="s">
        <v>20</v>
      </c>
      <c r="F87" t="s">
        <v>17</v>
      </c>
      <c r="G87" t="s">
        <v>18</v>
      </c>
      <c r="H87" s="1">
        <v>0.02</v>
      </c>
      <c r="I87" s="2">
        <v>2</v>
      </c>
      <c r="J87" s="2">
        <v>2</v>
      </c>
      <c r="K87" s="2">
        <v>0</v>
      </c>
      <c r="L87" s="2">
        <v>1</v>
      </c>
      <c r="M87" s="2">
        <v>1</v>
      </c>
      <c r="N87" s="2">
        <v>0</v>
      </c>
      <c r="O87" s="41">
        <v>0.5</v>
      </c>
      <c r="P87" s="6">
        <f t="shared" si="1"/>
        <v>0.5</v>
      </c>
      <c r="Q87" s="6">
        <v>0.5</v>
      </c>
      <c r="R87" s="32">
        <v>10</v>
      </c>
      <c r="S87" s="7">
        <v>0</v>
      </c>
      <c r="T87" s="7">
        <v>0</v>
      </c>
      <c r="U87" t="s">
        <v>73</v>
      </c>
    </row>
    <row r="88" spans="1:21" ht="15.75" customHeight="1" x14ac:dyDescent="0.25">
      <c r="A88" t="s">
        <v>25</v>
      </c>
      <c r="B88" t="s">
        <v>61</v>
      </c>
      <c r="C88" t="s">
        <v>38</v>
      </c>
      <c r="D88" t="s">
        <v>68</v>
      </c>
      <c r="E88" t="s">
        <v>16</v>
      </c>
      <c r="F88" t="s">
        <v>17</v>
      </c>
      <c r="G88" t="s">
        <v>34</v>
      </c>
      <c r="H88" s="1">
        <v>0.02</v>
      </c>
      <c r="I88" s="2">
        <v>83</v>
      </c>
      <c r="J88" s="2">
        <v>77</v>
      </c>
      <c r="K88" s="2">
        <v>0</v>
      </c>
      <c r="L88" s="2">
        <v>8</v>
      </c>
      <c r="M88" s="2">
        <v>8</v>
      </c>
      <c r="N88" s="2">
        <v>7</v>
      </c>
      <c r="O88" s="41">
        <v>9.6385540000000006E-2</v>
      </c>
      <c r="P88" s="6">
        <f t="shared" si="1"/>
        <v>9.6385542168674704E-2</v>
      </c>
      <c r="Q88" s="6">
        <v>9.6385542168674704E-2</v>
      </c>
      <c r="R88" s="32">
        <v>0.24096385542168677</v>
      </c>
      <c r="S88" s="7">
        <v>0</v>
      </c>
      <c r="T88" s="7">
        <v>0</v>
      </c>
      <c r="U88" t="s">
        <v>73</v>
      </c>
    </row>
    <row r="89" spans="1:21" ht="15.75" customHeight="1" x14ac:dyDescent="0.25">
      <c r="A89" t="s">
        <v>25</v>
      </c>
      <c r="B89" t="s">
        <v>61</v>
      </c>
      <c r="C89" t="s">
        <v>38</v>
      </c>
      <c r="D89" t="s">
        <v>68</v>
      </c>
      <c r="E89" t="s">
        <v>16</v>
      </c>
      <c r="F89" t="s">
        <v>17</v>
      </c>
      <c r="G89" t="s">
        <v>18</v>
      </c>
      <c r="H89" s="1">
        <v>0.01</v>
      </c>
      <c r="I89" s="2">
        <v>1</v>
      </c>
      <c r="J89" s="2">
        <v>1</v>
      </c>
      <c r="K89" s="2">
        <v>0</v>
      </c>
      <c r="L89" s="2">
        <v>0</v>
      </c>
      <c r="M89" s="2">
        <v>0</v>
      </c>
      <c r="N89" s="2">
        <v>0</v>
      </c>
      <c r="O89" s="41">
        <v>0</v>
      </c>
      <c r="P89" s="6">
        <f t="shared" si="1"/>
        <v>0</v>
      </c>
      <c r="Q89" s="6">
        <v>0</v>
      </c>
      <c r="R89" s="32">
        <v>10</v>
      </c>
      <c r="S89" s="7">
        <v>0</v>
      </c>
      <c r="T89" s="7">
        <v>0</v>
      </c>
      <c r="U89" t="s">
        <v>73</v>
      </c>
    </row>
    <row r="90" spans="1:21" ht="15.75" customHeight="1" x14ac:dyDescent="0.25">
      <c r="A90" t="s">
        <v>25</v>
      </c>
      <c r="B90" t="s">
        <v>61</v>
      </c>
      <c r="C90" t="s">
        <v>38</v>
      </c>
      <c r="D90" t="s">
        <v>68</v>
      </c>
      <c r="E90" t="s">
        <v>20</v>
      </c>
      <c r="F90" t="s">
        <v>41</v>
      </c>
      <c r="G90" t="s">
        <v>18</v>
      </c>
      <c r="H90" s="1">
        <v>0</v>
      </c>
      <c r="I90" s="2">
        <v>0</v>
      </c>
      <c r="J90" s="2">
        <v>0</v>
      </c>
      <c r="K90" s="2">
        <v>0</v>
      </c>
      <c r="L90" s="2">
        <v>0</v>
      </c>
      <c r="M90" s="2">
        <v>0</v>
      </c>
      <c r="N90" s="2">
        <v>0</v>
      </c>
      <c r="O90" s="41">
        <v>0</v>
      </c>
      <c r="P90" s="6">
        <v>0</v>
      </c>
      <c r="Q90" s="6">
        <v>0</v>
      </c>
      <c r="R90" s="32">
        <v>0</v>
      </c>
      <c r="S90" s="7">
        <v>0</v>
      </c>
      <c r="T90" s="7">
        <v>0</v>
      </c>
      <c r="U90" t="s">
        <v>73</v>
      </c>
    </row>
    <row r="91" spans="1:21" ht="15.75" customHeight="1" x14ac:dyDescent="0.25">
      <c r="A91" t="s">
        <v>25</v>
      </c>
      <c r="B91" t="s">
        <v>61</v>
      </c>
      <c r="C91" t="s">
        <v>15</v>
      </c>
      <c r="D91" t="s">
        <v>67</v>
      </c>
      <c r="E91" t="s">
        <v>20</v>
      </c>
      <c r="F91" t="s">
        <v>41</v>
      </c>
      <c r="G91" t="s">
        <v>18</v>
      </c>
      <c r="H91" s="1">
        <v>0</v>
      </c>
      <c r="I91" s="2">
        <v>0</v>
      </c>
      <c r="J91" s="2">
        <v>0</v>
      </c>
      <c r="K91" s="2">
        <v>0</v>
      </c>
      <c r="L91" s="2">
        <v>0</v>
      </c>
      <c r="M91" s="2">
        <v>0</v>
      </c>
      <c r="N91" s="2">
        <v>0</v>
      </c>
      <c r="O91" s="41">
        <v>0</v>
      </c>
      <c r="P91" s="6">
        <v>0</v>
      </c>
      <c r="Q91" s="6">
        <v>0</v>
      </c>
      <c r="R91" s="32">
        <v>0</v>
      </c>
      <c r="S91" s="7">
        <v>0</v>
      </c>
      <c r="T91" s="7">
        <v>0</v>
      </c>
      <c r="U91" t="s">
        <v>73</v>
      </c>
    </row>
    <row r="92" spans="1:21" ht="15.75" customHeight="1" x14ac:dyDescent="0.25">
      <c r="A92" t="s">
        <v>25</v>
      </c>
      <c r="B92" t="s">
        <v>61</v>
      </c>
      <c r="C92" t="s">
        <v>15</v>
      </c>
      <c r="D92" t="s">
        <v>67</v>
      </c>
      <c r="E92" t="s">
        <v>20</v>
      </c>
      <c r="F92" t="s">
        <v>17</v>
      </c>
      <c r="G92" t="s">
        <v>18</v>
      </c>
      <c r="H92" s="1">
        <v>0</v>
      </c>
      <c r="I92" s="2">
        <v>1</v>
      </c>
      <c r="J92" s="2">
        <v>1</v>
      </c>
      <c r="K92" s="2">
        <v>0</v>
      </c>
      <c r="L92" s="2">
        <v>0</v>
      </c>
      <c r="M92" s="2">
        <v>0</v>
      </c>
      <c r="N92" s="2">
        <v>0</v>
      </c>
      <c r="O92" s="41">
        <v>0</v>
      </c>
      <c r="P92" s="6">
        <f t="shared" si="1"/>
        <v>0</v>
      </c>
      <c r="Q92" s="6">
        <v>0</v>
      </c>
      <c r="R92" s="32">
        <v>0</v>
      </c>
      <c r="S92" s="7">
        <v>0</v>
      </c>
      <c r="T92" s="7">
        <v>0</v>
      </c>
      <c r="U92" t="s">
        <v>73</v>
      </c>
    </row>
    <row r="93" spans="1:21" ht="15.75" customHeight="1" x14ac:dyDescent="0.25">
      <c r="A93" t="s">
        <v>25</v>
      </c>
      <c r="B93" t="s">
        <v>61</v>
      </c>
      <c r="C93" t="s">
        <v>15</v>
      </c>
      <c r="D93" t="s">
        <v>67</v>
      </c>
      <c r="E93" t="s">
        <v>16</v>
      </c>
      <c r="F93" t="s">
        <v>17</v>
      </c>
      <c r="G93" t="s">
        <v>18</v>
      </c>
      <c r="H93" s="1">
        <v>0</v>
      </c>
      <c r="I93" s="2">
        <v>1</v>
      </c>
      <c r="J93" s="2">
        <v>1</v>
      </c>
      <c r="K93" s="2">
        <v>0</v>
      </c>
      <c r="L93" s="2">
        <v>1</v>
      </c>
      <c r="M93" s="2">
        <v>1</v>
      </c>
      <c r="N93" s="2">
        <v>0</v>
      </c>
      <c r="O93" s="41">
        <v>1</v>
      </c>
      <c r="P93" s="6">
        <f t="shared" si="1"/>
        <v>1</v>
      </c>
      <c r="Q93" s="6">
        <v>1</v>
      </c>
      <c r="R93" s="32">
        <v>0</v>
      </c>
      <c r="S93" s="7">
        <v>0</v>
      </c>
      <c r="T93" s="7">
        <v>0</v>
      </c>
      <c r="U93" t="s">
        <v>73</v>
      </c>
    </row>
    <row r="94" spans="1:21" ht="15.75" customHeight="1" x14ac:dyDescent="0.25">
      <c r="A94" t="s">
        <v>25</v>
      </c>
      <c r="B94" t="s">
        <v>61</v>
      </c>
      <c r="C94" t="s">
        <v>15</v>
      </c>
      <c r="D94" t="s">
        <v>67</v>
      </c>
      <c r="E94" t="s">
        <v>16</v>
      </c>
      <c r="F94" t="s">
        <v>41</v>
      </c>
      <c r="G94" t="s">
        <v>18</v>
      </c>
      <c r="H94" s="1">
        <v>0</v>
      </c>
      <c r="I94" s="2">
        <v>0</v>
      </c>
      <c r="J94" s="2">
        <v>0</v>
      </c>
      <c r="K94" s="2">
        <v>0</v>
      </c>
      <c r="L94" s="2">
        <v>0</v>
      </c>
      <c r="M94" s="2">
        <v>0</v>
      </c>
      <c r="N94" s="2">
        <v>0</v>
      </c>
      <c r="O94" s="41">
        <v>0</v>
      </c>
      <c r="P94" s="6">
        <v>0</v>
      </c>
      <c r="Q94" s="6">
        <v>0</v>
      </c>
      <c r="R94" s="32">
        <v>0</v>
      </c>
      <c r="S94" s="7">
        <v>0</v>
      </c>
      <c r="T94" s="7">
        <v>0</v>
      </c>
      <c r="U94" t="s">
        <v>73</v>
      </c>
    </row>
    <row r="95" spans="1:21" ht="15.75" customHeight="1" x14ac:dyDescent="0.25">
      <c r="A95" t="s">
        <v>25</v>
      </c>
      <c r="B95" t="s">
        <v>61</v>
      </c>
      <c r="C95" t="s">
        <v>38</v>
      </c>
      <c r="D95" t="s">
        <v>68</v>
      </c>
      <c r="E95" t="s">
        <v>20</v>
      </c>
      <c r="F95" t="s">
        <v>17</v>
      </c>
      <c r="G95" t="s">
        <v>18</v>
      </c>
      <c r="H95" s="1">
        <v>0</v>
      </c>
      <c r="I95" s="2">
        <v>1</v>
      </c>
      <c r="J95" s="2">
        <v>1</v>
      </c>
      <c r="K95" s="2">
        <v>0</v>
      </c>
      <c r="L95" s="2">
        <v>0</v>
      </c>
      <c r="M95" s="2">
        <v>0</v>
      </c>
      <c r="N95" s="2">
        <v>0</v>
      </c>
      <c r="O95" s="41">
        <v>0</v>
      </c>
      <c r="P95" s="6">
        <f t="shared" si="1"/>
        <v>0</v>
      </c>
      <c r="Q95" s="6">
        <v>0</v>
      </c>
      <c r="R95" s="32">
        <v>0</v>
      </c>
      <c r="S95" s="7">
        <v>0</v>
      </c>
      <c r="T95" s="7">
        <v>0</v>
      </c>
      <c r="U95" t="s">
        <v>73</v>
      </c>
    </row>
    <row r="96" spans="1:21" ht="15.75" customHeight="1" x14ac:dyDescent="0.25">
      <c r="A96" t="s">
        <v>25</v>
      </c>
      <c r="B96" t="s">
        <v>61</v>
      </c>
      <c r="C96" t="s">
        <v>38</v>
      </c>
      <c r="D96" t="s">
        <v>68</v>
      </c>
      <c r="E96" t="s">
        <v>16</v>
      </c>
      <c r="F96" t="s">
        <v>41</v>
      </c>
      <c r="G96" t="s">
        <v>18</v>
      </c>
      <c r="H96" s="1">
        <v>0</v>
      </c>
      <c r="I96" s="2">
        <v>0</v>
      </c>
      <c r="J96" s="2">
        <v>0</v>
      </c>
      <c r="K96" s="2">
        <v>0</v>
      </c>
      <c r="L96" s="2">
        <v>0</v>
      </c>
      <c r="M96" s="2">
        <v>0</v>
      </c>
      <c r="N96" s="2">
        <v>0</v>
      </c>
      <c r="O96" s="41">
        <v>0</v>
      </c>
      <c r="P96" s="6">
        <v>0</v>
      </c>
      <c r="Q96" s="6">
        <v>0</v>
      </c>
      <c r="R96" s="32">
        <v>0</v>
      </c>
      <c r="S96" s="7">
        <v>0</v>
      </c>
      <c r="T96" s="7">
        <v>0</v>
      </c>
      <c r="U96" t="s">
        <v>73</v>
      </c>
    </row>
    <row r="97" spans="1:21" ht="15.75" customHeight="1" x14ac:dyDescent="0.25">
      <c r="A97" t="s">
        <v>25</v>
      </c>
      <c r="B97" t="s">
        <v>61</v>
      </c>
      <c r="C97" t="s">
        <v>38</v>
      </c>
      <c r="D97" t="s">
        <v>68</v>
      </c>
      <c r="E97" t="s">
        <v>20</v>
      </c>
      <c r="F97" t="s">
        <v>17</v>
      </c>
      <c r="G97" t="s">
        <v>18</v>
      </c>
      <c r="H97" s="1">
        <v>0</v>
      </c>
      <c r="I97" s="2">
        <v>0</v>
      </c>
      <c r="J97" s="2">
        <v>0</v>
      </c>
      <c r="K97" s="2">
        <v>0</v>
      </c>
      <c r="L97" s="2">
        <v>0</v>
      </c>
      <c r="M97" s="2">
        <v>0</v>
      </c>
      <c r="N97" s="2">
        <v>0</v>
      </c>
      <c r="O97" s="41">
        <v>0</v>
      </c>
      <c r="P97" s="6">
        <v>0</v>
      </c>
      <c r="Q97" s="6">
        <v>0</v>
      </c>
      <c r="R97" s="32">
        <v>0</v>
      </c>
      <c r="S97" s="7">
        <v>0</v>
      </c>
      <c r="T97" s="7">
        <v>0</v>
      </c>
      <c r="U97" t="s">
        <v>73</v>
      </c>
    </row>
    <row r="98" spans="1:21" ht="15.75" customHeight="1" x14ac:dyDescent="0.25">
      <c r="A98" t="s">
        <v>25</v>
      </c>
      <c r="B98" t="s">
        <v>61</v>
      </c>
      <c r="C98" t="s">
        <v>38</v>
      </c>
      <c r="D98" t="s">
        <v>68</v>
      </c>
      <c r="E98" t="s">
        <v>20</v>
      </c>
      <c r="F98" t="s">
        <v>17</v>
      </c>
      <c r="G98" t="s">
        <v>18</v>
      </c>
      <c r="H98" s="1">
        <v>0</v>
      </c>
      <c r="I98" s="2">
        <v>0</v>
      </c>
      <c r="J98" s="2">
        <v>0</v>
      </c>
      <c r="K98" s="2">
        <v>0</v>
      </c>
      <c r="L98" s="2">
        <v>0</v>
      </c>
      <c r="M98" s="2">
        <v>0</v>
      </c>
      <c r="N98" s="2">
        <v>0</v>
      </c>
      <c r="O98" s="41">
        <v>0</v>
      </c>
      <c r="P98" s="6">
        <v>0</v>
      </c>
      <c r="Q98" s="6">
        <v>0</v>
      </c>
      <c r="R98" s="32">
        <v>0</v>
      </c>
      <c r="S98" s="7">
        <v>0</v>
      </c>
      <c r="T98" s="7">
        <v>0</v>
      </c>
      <c r="U98" t="s">
        <v>73</v>
      </c>
    </row>
    <row r="99" spans="1:21" ht="15.75" customHeight="1" x14ac:dyDescent="0.25">
      <c r="A99" t="s">
        <v>25</v>
      </c>
      <c r="B99" t="s">
        <v>61</v>
      </c>
      <c r="C99" t="s">
        <v>15</v>
      </c>
      <c r="D99" t="s">
        <v>67</v>
      </c>
      <c r="E99" t="s">
        <v>16</v>
      </c>
      <c r="F99" t="s">
        <v>17</v>
      </c>
      <c r="G99" t="s">
        <v>18</v>
      </c>
      <c r="H99" s="1">
        <v>0</v>
      </c>
      <c r="I99" s="2">
        <v>3</v>
      </c>
      <c r="J99" s="2">
        <v>3</v>
      </c>
      <c r="K99" s="2">
        <v>0</v>
      </c>
      <c r="L99" s="2">
        <v>1</v>
      </c>
      <c r="M99" s="2">
        <v>1</v>
      </c>
      <c r="N99" s="2">
        <v>0</v>
      </c>
      <c r="O99" s="41">
        <v>0.33333332999999998</v>
      </c>
      <c r="P99" s="6">
        <f t="shared" si="1"/>
        <v>0.33333333333333331</v>
      </c>
      <c r="Q99" s="6">
        <v>0.33333333333333331</v>
      </c>
      <c r="R99" s="32">
        <v>0</v>
      </c>
      <c r="S99" s="7">
        <v>0</v>
      </c>
      <c r="T99" s="7">
        <v>0</v>
      </c>
      <c r="U99" t="s">
        <v>73</v>
      </c>
    </row>
    <row r="100" spans="1:21" ht="15.75" customHeight="1" x14ac:dyDescent="0.25">
      <c r="A100" t="s">
        <v>25</v>
      </c>
      <c r="B100" t="s">
        <v>61</v>
      </c>
      <c r="C100" t="s">
        <v>38</v>
      </c>
      <c r="D100" t="s">
        <v>68</v>
      </c>
      <c r="E100" t="s">
        <v>16</v>
      </c>
      <c r="F100" t="s">
        <v>17</v>
      </c>
      <c r="G100" t="s">
        <v>18</v>
      </c>
      <c r="H100" s="1">
        <v>0</v>
      </c>
      <c r="I100" s="2">
        <v>0</v>
      </c>
      <c r="J100" s="2">
        <v>0</v>
      </c>
      <c r="K100" s="2">
        <v>0</v>
      </c>
      <c r="L100" s="2">
        <v>0</v>
      </c>
      <c r="M100" s="2">
        <v>0</v>
      </c>
      <c r="N100" s="2">
        <v>0</v>
      </c>
      <c r="O100" s="41">
        <v>0</v>
      </c>
      <c r="P100" s="6">
        <v>0</v>
      </c>
      <c r="Q100" s="6">
        <v>0</v>
      </c>
      <c r="R100" s="32">
        <v>0</v>
      </c>
      <c r="S100" s="7">
        <v>0</v>
      </c>
      <c r="T100" s="7">
        <v>0</v>
      </c>
      <c r="U100" t="s">
        <v>73</v>
      </c>
    </row>
    <row r="101" spans="1:21" ht="15.75" customHeight="1" x14ac:dyDescent="0.25">
      <c r="A101" t="s">
        <v>25</v>
      </c>
      <c r="B101" t="s">
        <v>61</v>
      </c>
      <c r="C101" t="s">
        <v>15</v>
      </c>
      <c r="D101" t="s">
        <v>67</v>
      </c>
      <c r="E101" t="s">
        <v>20</v>
      </c>
      <c r="F101" t="s">
        <v>17</v>
      </c>
      <c r="G101" t="s">
        <v>18</v>
      </c>
      <c r="H101" s="1">
        <v>0</v>
      </c>
      <c r="I101" s="2">
        <v>1</v>
      </c>
      <c r="J101" s="2">
        <v>1</v>
      </c>
      <c r="K101" s="2">
        <v>0</v>
      </c>
      <c r="L101" s="2">
        <v>1</v>
      </c>
      <c r="M101" s="2">
        <v>1</v>
      </c>
      <c r="N101" s="2">
        <v>0</v>
      </c>
      <c r="O101" s="41">
        <v>1</v>
      </c>
      <c r="P101" s="6">
        <f t="shared" si="1"/>
        <v>1</v>
      </c>
      <c r="Q101" s="6">
        <v>1</v>
      </c>
      <c r="R101" s="32">
        <v>0</v>
      </c>
      <c r="S101" s="7">
        <v>0</v>
      </c>
      <c r="T101" s="7">
        <v>0</v>
      </c>
      <c r="U101" t="s">
        <v>73</v>
      </c>
    </row>
    <row r="102" spans="1:21" ht="15.75" customHeight="1" x14ac:dyDescent="0.25">
      <c r="A102" t="s">
        <v>37</v>
      </c>
      <c r="B102" t="s">
        <v>59</v>
      </c>
      <c r="C102" t="s">
        <v>15</v>
      </c>
      <c r="D102" t="s">
        <v>67</v>
      </c>
      <c r="E102" t="s">
        <v>16</v>
      </c>
      <c r="F102" t="s">
        <v>17</v>
      </c>
      <c r="G102" t="s">
        <v>33</v>
      </c>
      <c r="H102" s="1">
        <v>447.62</v>
      </c>
      <c r="I102" s="2">
        <v>917627</v>
      </c>
      <c r="J102" s="2">
        <v>199617</v>
      </c>
      <c r="K102" s="2">
        <v>4333</v>
      </c>
      <c r="L102" s="2">
        <v>184422</v>
      </c>
      <c r="M102" s="2">
        <v>181384</v>
      </c>
      <c r="N102" s="2">
        <v>2742</v>
      </c>
      <c r="O102" s="41">
        <v>0.92387923000000005</v>
      </c>
      <c r="P102" s="6">
        <f t="shared" si="1"/>
        <v>0.19766637206620991</v>
      </c>
      <c r="Q102" s="6">
        <v>0.19766637206620991</v>
      </c>
      <c r="R102" s="32">
        <v>0.48780168848562655</v>
      </c>
      <c r="S102" s="7">
        <v>4.721962191609445E-3</v>
      </c>
      <c r="T102" s="7">
        <v>2.170656807786912E-2</v>
      </c>
      <c r="U102" t="s">
        <v>73</v>
      </c>
    </row>
    <row r="103" spans="1:21" ht="15.75" customHeight="1" x14ac:dyDescent="0.25">
      <c r="A103" t="s">
        <v>37</v>
      </c>
      <c r="B103" t="s">
        <v>59</v>
      </c>
      <c r="C103" t="s">
        <v>15</v>
      </c>
      <c r="D103" t="s">
        <v>67</v>
      </c>
      <c r="E103" t="s">
        <v>20</v>
      </c>
      <c r="F103" t="s">
        <v>17</v>
      </c>
      <c r="G103" t="s">
        <v>34</v>
      </c>
      <c r="H103" s="1">
        <v>219.21</v>
      </c>
      <c r="I103" s="2">
        <v>211900</v>
      </c>
      <c r="J103" s="2">
        <v>74032</v>
      </c>
      <c r="K103" s="2">
        <v>2192</v>
      </c>
      <c r="L103" s="2">
        <v>164416</v>
      </c>
      <c r="M103" s="2">
        <v>162292</v>
      </c>
      <c r="N103" s="2">
        <v>271</v>
      </c>
      <c r="O103" s="41">
        <v>2.2208774600000001</v>
      </c>
      <c r="P103" s="6">
        <f t="shared" si="1"/>
        <v>0.76588957055214724</v>
      </c>
      <c r="Q103" s="6">
        <v>0.76588957055214724</v>
      </c>
      <c r="R103" s="32">
        <v>1.0344974044360549</v>
      </c>
      <c r="S103" s="7">
        <v>1.0344502123643228E-2</v>
      </c>
      <c r="T103" s="7">
        <v>2.960881780851524E-2</v>
      </c>
      <c r="U103" t="s">
        <v>73</v>
      </c>
    </row>
    <row r="104" spans="1:21" ht="15.75" customHeight="1" x14ac:dyDescent="0.25">
      <c r="A104" t="s">
        <v>37</v>
      </c>
      <c r="B104" t="s">
        <v>59</v>
      </c>
      <c r="C104" t="s">
        <v>15</v>
      </c>
      <c r="D104" t="s">
        <v>67</v>
      </c>
      <c r="E104" t="s">
        <v>20</v>
      </c>
      <c r="F104" t="s">
        <v>17</v>
      </c>
      <c r="G104" t="s">
        <v>34</v>
      </c>
      <c r="H104" s="1">
        <v>197.06</v>
      </c>
      <c r="I104" s="2">
        <v>712777</v>
      </c>
      <c r="J104" s="2">
        <v>183997</v>
      </c>
      <c r="K104" s="2">
        <v>2690</v>
      </c>
      <c r="L104" s="2">
        <v>42093</v>
      </c>
      <c r="M104" s="2">
        <v>41795</v>
      </c>
      <c r="N104" s="2">
        <v>1498</v>
      </c>
      <c r="O104" s="41">
        <v>0.22877003000000001</v>
      </c>
      <c r="P104" s="6">
        <f t="shared" si="1"/>
        <v>5.8636852760400517E-2</v>
      </c>
      <c r="Q104" s="6">
        <v>5.8636852760400517E-2</v>
      </c>
      <c r="R104" s="32">
        <v>0.2764679556158518</v>
      </c>
      <c r="S104" s="7">
        <v>3.7739713823538076E-3</v>
      </c>
      <c r="T104" s="7">
        <v>1.461980358375408E-2</v>
      </c>
      <c r="U104" t="s">
        <v>73</v>
      </c>
    </row>
    <row r="105" spans="1:21" ht="15.75" customHeight="1" x14ac:dyDescent="0.25">
      <c r="A105" t="s">
        <v>37</v>
      </c>
      <c r="B105" t="s">
        <v>59</v>
      </c>
      <c r="C105" t="s">
        <v>15</v>
      </c>
      <c r="D105" t="s">
        <v>67</v>
      </c>
      <c r="E105" t="s">
        <v>20</v>
      </c>
      <c r="F105" t="s">
        <v>17</v>
      </c>
      <c r="G105" t="s">
        <v>33</v>
      </c>
      <c r="H105" s="1">
        <v>195.85</v>
      </c>
      <c r="I105" s="2">
        <v>449651</v>
      </c>
      <c r="J105" s="2">
        <v>98337</v>
      </c>
      <c r="K105" s="2">
        <v>1631</v>
      </c>
      <c r="L105" s="2">
        <v>74652</v>
      </c>
      <c r="M105" s="2">
        <v>73604</v>
      </c>
      <c r="N105" s="2">
        <v>1944</v>
      </c>
      <c r="O105" s="41">
        <v>0.75914457000000002</v>
      </c>
      <c r="P105" s="6">
        <f t="shared" si="1"/>
        <v>0.16369139621617654</v>
      </c>
      <c r="Q105" s="6">
        <v>0.16369139621617654</v>
      </c>
      <c r="R105" s="32">
        <v>0.4355600232180068</v>
      </c>
      <c r="S105" s="7">
        <v>3.6272575842153138E-3</v>
      </c>
      <c r="T105" s="7">
        <v>1.6585822223578101E-2</v>
      </c>
      <c r="U105" t="s">
        <v>73</v>
      </c>
    </row>
    <row r="106" spans="1:21" ht="15.75" customHeight="1" x14ac:dyDescent="0.25">
      <c r="A106" t="s">
        <v>37</v>
      </c>
      <c r="B106" t="s">
        <v>59</v>
      </c>
      <c r="C106" t="s">
        <v>15</v>
      </c>
      <c r="D106" t="s">
        <v>67</v>
      </c>
      <c r="E106" t="s">
        <v>16</v>
      </c>
      <c r="F106" t="s">
        <v>17</v>
      </c>
      <c r="G106" t="s">
        <v>34</v>
      </c>
      <c r="H106" s="1">
        <v>143.31</v>
      </c>
      <c r="I106" s="2">
        <v>194144</v>
      </c>
      <c r="J106" s="2">
        <v>91760</v>
      </c>
      <c r="K106" s="2">
        <v>1354</v>
      </c>
      <c r="L106" s="2">
        <v>89625</v>
      </c>
      <c r="M106" s="2">
        <v>88318</v>
      </c>
      <c r="N106" s="2">
        <v>838</v>
      </c>
      <c r="O106" s="41">
        <v>0.97673277999999997</v>
      </c>
      <c r="P106" s="6">
        <f t="shared" si="1"/>
        <v>0.45490975770562059</v>
      </c>
      <c r="Q106" s="6">
        <v>0.45490975770562059</v>
      </c>
      <c r="R106" s="32">
        <v>0.73816342508653365</v>
      </c>
      <c r="S106" s="7">
        <v>6.9742047140267018E-3</v>
      </c>
      <c r="T106" s="7">
        <v>1.4755884917175241E-2</v>
      </c>
      <c r="U106" t="s">
        <v>73</v>
      </c>
    </row>
    <row r="107" spans="1:21" ht="15.75" customHeight="1" x14ac:dyDescent="0.25">
      <c r="A107" t="s">
        <v>37</v>
      </c>
      <c r="B107" t="s">
        <v>59</v>
      </c>
      <c r="C107" t="s">
        <v>15</v>
      </c>
      <c r="D107" t="s">
        <v>67</v>
      </c>
      <c r="E107" t="s">
        <v>16</v>
      </c>
      <c r="F107" t="s">
        <v>40</v>
      </c>
      <c r="G107" t="s">
        <v>34</v>
      </c>
      <c r="H107" s="1">
        <v>129.66999999999999</v>
      </c>
      <c r="I107" s="2">
        <v>476494</v>
      </c>
      <c r="J107" s="2">
        <v>126972</v>
      </c>
      <c r="K107" s="2">
        <v>1212</v>
      </c>
      <c r="L107" s="2">
        <v>701</v>
      </c>
      <c r="M107" s="2">
        <v>0</v>
      </c>
      <c r="N107" s="2">
        <v>0</v>
      </c>
      <c r="O107" s="41">
        <v>5.5208999999999996E-3</v>
      </c>
      <c r="P107" s="6">
        <f t="shared" si="1"/>
        <v>0</v>
      </c>
      <c r="Q107" s="6">
        <v>0</v>
      </c>
      <c r="R107" s="32">
        <v>0.27213354208027801</v>
      </c>
      <c r="S107" s="7">
        <v>2.5435787229220095E-3</v>
      </c>
      <c r="T107" s="7">
        <v>9.5454115868065393E-3</v>
      </c>
      <c r="U107" t="s">
        <v>73</v>
      </c>
    </row>
    <row r="108" spans="1:21" ht="15.75" customHeight="1" x14ac:dyDescent="0.25">
      <c r="A108" t="s">
        <v>37</v>
      </c>
      <c r="B108" t="s">
        <v>59</v>
      </c>
      <c r="C108" t="s">
        <v>15</v>
      </c>
      <c r="D108" t="s">
        <v>67</v>
      </c>
      <c r="E108" t="s">
        <v>16</v>
      </c>
      <c r="F108" t="s">
        <v>17</v>
      </c>
      <c r="G108" t="s">
        <v>33</v>
      </c>
      <c r="H108" s="1">
        <v>122.72</v>
      </c>
      <c r="I108" s="2">
        <v>259766</v>
      </c>
      <c r="J108" s="2">
        <v>98706</v>
      </c>
      <c r="K108" s="2">
        <v>1290</v>
      </c>
      <c r="L108" s="2">
        <v>47722</v>
      </c>
      <c r="M108" s="2">
        <v>46834</v>
      </c>
      <c r="N108" s="2">
        <v>1308</v>
      </c>
      <c r="O108" s="41">
        <v>0.48347617999999998</v>
      </c>
      <c r="P108" s="6">
        <f t="shared" si="1"/>
        <v>0.18029303296043361</v>
      </c>
      <c r="Q108" s="6">
        <v>0.18029303296043361</v>
      </c>
      <c r="R108" s="32">
        <v>0.47242518266439792</v>
      </c>
      <c r="S108" s="7">
        <v>4.9660078686202197E-3</v>
      </c>
      <c r="T108" s="7">
        <v>1.3069114339553829E-2</v>
      </c>
      <c r="U108" t="s">
        <v>73</v>
      </c>
    </row>
    <row r="109" spans="1:21" ht="15.75" customHeight="1" x14ac:dyDescent="0.25">
      <c r="A109" t="s">
        <v>37</v>
      </c>
      <c r="B109" t="s">
        <v>59</v>
      </c>
      <c r="C109" t="s">
        <v>15</v>
      </c>
      <c r="D109" t="s">
        <v>67</v>
      </c>
      <c r="E109" t="s">
        <v>20</v>
      </c>
      <c r="F109" t="s">
        <v>17</v>
      </c>
      <c r="G109" t="s">
        <v>34</v>
      </c>
      <c r="H109" s="1">
        <v>122.43</v>
      </c>
      <c r="I109" s="2">
        <v>439064</v>
      </c>
      <c r="J109" s="2">
        <v>125215</v>
      </c>
      <c r="K109" s="2">
        <v>1584</v>
      </c>
      <c r="L109" s="2">
        <v>23737</v>
      </c>
      <c r="M109" s="2">
        <v>23431</v>
      </c>
      <c r="N109" s="2">
        <v>1173</v>
      </c>
      <c r="O109" s="41">
        <v>0.18956993999999999</v>
      </c>
      <c r="P109" s="6">
        <f t="shared" si="1"/>
        <v>5.3365796330375526E-2</v>
      </c>
      <c r="Q109" s="6">
        <v>5.3365796330375526E-2</v>
      </c>
      <c r="R109" s="32">
        <v>0.27884317548238985</v>
      </c>
      <c r="S109" s="7">
        <v>3.6076745075888711E-3</v>
      </c>
      <c r="T109" s="7">
        <v>1.2650241584474701E-2</v>
      </c>
      <c r="U109" t="s">
        <v>73</v>
      </c>
    </row>
    <row r="110" spans="1:21" ht="15.75" customHeight="1" x14ac:dyDescent="0.25">
      <c r="A110" t="s">
        <v>37</v>
      </c>
      <c r="B110" t="s">
        <v>59</v>
      </c>
      <c r="C110" t="s">
        <v>15</v>
      </c>
      <c r="D110" t="s">
        <v>67</v>
      </c>
      <c r="E110" t="s">
        <v>16</v>
      </c>
      <c r="F110" t="s">
        <v>17</v>
      </c>
      <c r="G110" t="s">
        <v>33</v>
      </c>
      <c r="H110" s="1">
        <v>113.71</v>
      </c>
      <c r="I110" s="2">
        <v>403255</v>
      </c>
      <c r="J110" s="2">
        <v>125472</v>
      </c>
      <c r="K110" s="2">
        <v>1418</v>
      </c>
      <c r="L110" s="2">
        <v>25747</v>
      </c>
      <c r="M110" s="2">
        <v>25334</v>
      </c>
      <c r="N110" s="2">
        <v>846</v>
      </c>
      <c r="O110" s="41">
        <v>0.20520115999999999</v>
      </c>
      <c r="P110" s="6">
        <f t="shared" si="1"/>
        <v>6.2823771558939132E-2</v>
      </c>
      <c r="Q110" s="6">
        <v>6.2823771558939132E-2</v>
      </c>
      <c r="R110" s="32">
        <v>0.28198038462015346</v>
      </c>
      <c r="S110" s="7">
        <v>3.5163854136960482E-3</v>
      </c>
      <c r="T110" s="7">
        <v>1.1301326192297879E-2</v>
      </c>
      <c r="U110" t="s">
        <v>73</v>
      </c>
    </row>
    <row r="111" spans="1:21" ht="15.75" customHeight="1" x14ac:dyDescent="0.25">
      <c r="A111" t="s">
        <v>37</v>
      </c>
      <c r="B111" t="s">
        <v>59</v>
      </c>
      <c r="C111" t="s">
        <v>15</v>
      </c>
      <c r="D111" t="s">
        <v>67</v>
      </c>
      <c r="E111" t="s">
        <v>16</v>
      </c>
      <c r="F111" t="s">
        <v>17</v>
      </c>
      <c r="G111" t="s">
        <v>34</v>
      </c>
      <c r="H111" s="1">
        <v>107.1</v>
      </c>
      <c r="I111" s="2">
        <v>195501</v>
      </c>
      <c r="J111" s="2">
        <v>62289</v>
      </c>
      <c r="K111" s="2">
        <v>1205</v>
      </c>
      <c r="L111" s="2">
        <v>47855</v>
      </c>
      <c r="M111" s="2">
        <v>46955</v>
      </c>
      <c r="N111" s="2">
        <v>955</v>
      </c>
      <c r="O111" s="41">
        <v>0.76827369000000001</v>
      </c>
      <c r="P111" s="6">
        <f t="shared" si="1"/>
        <v>0.24017779960204808</v>
      </c>
      <c r="Q111" s="6">
        <v>0.24017779960204808</v>
      </c>
      <c r="R111" s="32">
        <v>0.54782328479138209</v>
      </c>
      <c r="S111" s="7">
        <v>6.1636513368218066E-3</v>
      </c>
      <c r="T111" s="7">
        <v>1.9345309765769241E-2</v>
      </c>
      <c r="U111" t="s">
        <v>73</v>
      </c>
    </row>
    <row r="112" spans="1:21" ht="15.75" customHeight="1" x14ac:dyDescent="0.25">
      <c r="A112" t="s">
        <v>37</v>
      </c>
      <c r="B112" t="s">
        <v>59</v>
      </c>
      <c r="C112" t="s">
        <v>15</v>
      </c>
      <c r="D112" t="s">
        <v>67</v>
      </c>
      <c r="E112" t="s">
        <v>16</v>
      </c>
      <c r="F112" t="s">
        <v>17</v>
      </c>
      <c r="G112" t="s">
        <v>34</v>
      </c>
      <c r="H112" s="1">
        <v>76.66</v>
      </c>
      <c r="I112" s="2">
        <v>269378</v>
      </c>
      <c r="J112" s="2">
        <v>108608</v>
      </c>
      <c r="K112" s="2">
        <v>819</v>
      </c>
      <c r="L112" s="2">
        <v>14518</v>
      </c>
      <c r="M112" s="2">
        <v>14251</v>
      </c>
      <c r="N112" s="2">
        <v>411</v>
      </c>
      <c r="O112" s="41">
        <v>0.13367339</v>
      </c>
      <c r="P112" s="6">
        <f t="shared" si="1"/>
        <v>5.2903355136648129E-2</v>
      </c>
      <c r="Q112" s="6">
        <v>5.2903355136648129E-2</v>
      </c>
      <c r="R112" s="32">
        <v>0.28458151742161569</v>
      </c>
      <c r="S112" s="7">
        <v>3.0403373697926333E-3</v>
      </c>
      <c r="T112" s="7">
        <v>7.5408809664113136E-3</v>
      </c>
      <c r="U112" t="s">
        <v>73</v>
      </c>
    </row>
    <row r="113" spans="1:21" ht="15.75" customHeight="1" x14ac:dyDescent="0.25">
      <c r="A113" t="s">
        <v>37</v>
      </c>
      <c r="B113" t="s">
        <v>59</v>
      </c>
      <c r="C113" t="s">
        <v>15</v>
      </c>
      <c r="D113" t="s">
        <v>67</v>
      </c>
      <c r="E113" t="s">
        <v>20</v>
      </c>
      <c r="F113" t="s">
        <v>17</v>
      </c>
      <c r="G113" t="s">
        <v>33</v>
      </c>
      <c r="H113" s="1">
        <v>73.05</v>
      </c>
      <c r="I113" s="2">
        <v>257183</v>
      </c>
      <c r="J113" s="2">
        <v>88959</v>
      </c>
      <c r="K113" s="2">
        <v>881</v>
      </c>
      <c r="L113" s="2">
        <v>14728</v>
      </c>
      <c r="M113" s="2">
        <v>14436</v>
      </c>
      <c r="N113" s="2">
        <v>633</v>
      </c>
      <c r="O113" s="41">
        <v>0.16555942000000001</v>
      </c>
      <c r="P113" s="6">
        <f t="shared" si="1"/>
        <v>5.613123729017859E-2</v>
      </c>
      <c r="Q113" s="6">
        <v>5.613123729017859E-2</v>
      </c>
      <c r="R113" s="32">
        <v>0.28403899169074159</v>
      </c>
      <c r="S113" s="7">
        <v>3.425576340582387E-3</v>
      </c>
      <c r="T113" s="7">
        <v>9.9034386627547526E-3</v>
      </c>
      <c r="U113" t="s">
        <v>73</v>
      </c>
    </row>
    <row r="114" spans="1:21" ht="15.75" customHeight="1" x14ac:dyDescent="0.25">
      <c r="A114" t="s">
        <v>37</v>
      </c>
      <c r="B114" t="s">
        <v>59</v>
      </c>
      <c r="C114" t="s">
        <v>15</v>
      </c>
      <c r="D114" t="s">
        <v>67</v>
      </c>
      <c r="E114" t="s">
        <v>20</v>
      </c>
      <c r="F114" t="s">
        <v>17</v>
      </c>
      <c r="G114" t="s">
        <v>33</v>
      </c>
      <c r="H114" s="1">
        <v>72.91</v>
      </c>
      <c r="I114" s="2">
        <v>116927</v>
      </c>
      <c r="J114" s="2">
        <v>52704</v>
      </c>
      <c r="K114" s="2">
        <v>601</v>
      </c>
      <c r="L114" s="2">
        <v>39230</v>
      </c>
      <c r="M114" s="2">
        <v>38730</v>
      </c>
      <c r="N114" s="2">
        <v>252</v>
      </c>
      <c r="O114" s="41">
        <v>0.74434577999999996</v>
      </c>
      <c r="P114" s="6">
        <f t="shared" si="1"/>
        <v>0.33123230733705644</v>
      </c>
      <c r="Q114" s="6">
        <v>0.33123230733705644</v>
      </c>
      <c r="R114" s="32">
        <v>0.62355144662909334</v>
      </c>
      <c r="S114" s="7">
        <v>5.1399591197926909E-3</v>
      </c>
      <c r="T114" s="7">
        <v>1.1403309046751671E-2</v>
      </c>
      <c r="U114" t="s">
        <v>73</v>
      </c>
    </row>
    <row r="115" spans="1:21" ht="15.75" customHeight="1" x14ac:dyDescent="0.25">
      <c r="A115" t="s">
        <v>37</v>
      </c>
      <c r="B115" t="s">
        <v>59</v>
      </c>
      <c r="C115" t="s">
        <v>15</v>
      </c>
      <c r="D115" t="s">
        <v>67</v>
      </c>
      <c r="E115" t="s">
        <v>16</v>
      </c>
      <c r="F115" t="s">
        <v>17</v>
      </c>
      <c r="G115" t="s">
        <v>34</v>
      </c>
      <c r="H115" s="1">
        <v>72.27</v>
      </c>
      <c r="I115" s="2">
        <v>246369</v>
      </c>
      <c r="J115" s="2">
        <v>103800</v>
      </c>
      <c r="K115" s="2">
        <v>588</v>
      </c>
      <c r="L115" s="2">
        <v>7257</v>
      </c>
      <c r="M115" s="2">
        <v>7223</v>
      </c>
      <c r="N115" s="2">
        <v>6199</v>
      </c>
      <c r="O115" s="41">
        <v>6.9913290000000003E-2</v>
      </c>
      <c r="P115" s="6">
        <f t="shared" si="1"/>
        <v>2.9317811900036125E-2</v>
      </c>
      <c r="Q115" s="6">
        <v>2.9317811900036125E-2</v>
      </c>
      <c r="R115" s="32">
        <v>0.29334047708924416</v>
      </c>
      <c r="S115" s="7">
        <v>2.3866639065791557E-3</v>
      </c>
      <c r="T115" s="7">
        <v>5.6647398843930634E-3</v>
      </c>
      <c r="U115" t="s">
        <v>73</v>
      </c>
    </row>
    <row r="116" spans="1:21" ht="15.75" customHeight="1" x14ac:dyDescent="0.25">
      <c r="A116" t="s">
        <v>37</v>
      </c>
      <c r="B116" t="s">
        <v>59</v>
      </c>
      <c r="C116" t="s">
        <v>15</v>
      </c>
      <c r="D116" t="s">
        <v>67</v>
      </c>
      <c r="E116" t="s">
        <v>16</v>
      </c>
      <c r="F116" t="s">
        <v>40</v>
      </c>
      <c r="G116" t="s">
        <v>34</v>
      </c>
      <c r="H116" s="1">
        <v>58.09</v>
      </c>
      <c r="I116" s="2">
        <v>207642</v>
      </c>
      <c r="J116" s="2">
        <v>70815</v>
      </c>
      <c r="K116" s="2">
        <v>630</v>
      </c>
      <c r="L116" s="2">
        <v>437</v>
      </c>
      <c r="M116" s="2">
        <v>0</v>
      </c>
      <c r="N116" s="2">
        <v>0</v>
      </c>
      <c r="O116" s="41">
        <v>6.1710100000000002E-3</v>
      </c>
      <c r="P116" s="6">
        <f t="shared" si="1"/>
        <v>0</v>
      </c>
      <c r="Q116" s="6">
        <v>0</v>
      </c>
      <c r="R116" s="32">
        <v>0.27976035676789862</v>
      </c>
      <c r="S116" s="7">
        <v>3.0340682520877279E-3</v>
      </c>
      <c r="T116" s="7">
        <v>8.8964202499470443E-3</v>
      </c>
      <c r="U116" t="s">
        <v>73</v>
      </c>
    </row>
    <row r="117" spans="1:21" ht="15.75" customHeight="1" x14ac:dyDescent="0.25">
      <c r="A117" t="s">
        <v>37</v>
      </c>
      <c r="B117" t="s">
        <v>59</v>
      </c>
      <c r="C117" t="s">
        <v>15</v>
      </c>
      <c r="D117" t="s">
        <v>67</v>
      </c>
      <c r="E117" t="s">
        <v>20</v>
      </c>
      <c r="F117" t="s">
        <v>40</v>
      </c>
      <c r="G117" t="s">
        <v>34</v>
      </c>
      <c r="H117" s="1">
        <v>49.94</v>
      </c>
      <c r="I117" s="2">
        <v>175079</v>
      </c>
      <c r="J117" s="2">
        <v>74736</v>
      </c>
      <c r="K117" s="2">
        <v>380</v>
      </c>
      <c r="L117" s="2">
        <v>247</v>
      </c>
      <c r="M117" s="2">
        <v>0</v>
      </c>
      <c r="N117" s="2">
        <v>0</v>
      </c>
      <c r="O117" s="41">
        <v>3.30497E-3</v>
      </c>
      <c r="P117" s="6">
        <f t="shared" si="1"/>
        <v>0</v>
      </c>
      <c r="Q117" s="6">
        <v>0</v>
      </c>
      <c r="R117" s="32">
        <v>0.28524266188406372</v>
      </c>
      <c r="S117" s="7">
        <v>2.1704487688414945E-3</v>
      </c>
      <c r="T117" s="7">
        <v>5.0845643331192463E-3</v>
      </c>
      <c r="U117" t="s">
        <v>73</v>
      </c>
    </row>
    <row r="118" spans="1:21" ht="15.75" customHeight="1" x14ac:dyDescent="0.25">
      <c r="A118" t="s">
        <v>37</v>
      </c>
      <c r="B118" t="s">
        <v>59</v>
      </c>
      <c r="C118" t="s">
        <v>15</v>
      </c>
      <c r="D118" t="s">
        <v>67</v>
      </c>
      <c r="E118" t="s">
        <v>20</v>
      </c>
      <c r="F118" t="s">
        <v>17</v>
      </c>
      <c r="G118" t="s">
        <v>34</v>
      </c>
      <c r="H118" s="1">
        <v>48.4</v>
      </c>
      <c r="I118" s="2">
        <v>51773</v>
      </c>
      <c r="J118" s="2">
        <v>31512</v>
      </c>
      <c r="K118" s="2">
        <v>538</v>
      </c>
      <c r="L118" s="2">
        <v>33479</v>
      </c>
      <c r="M118" s="2">
        <v>32971</v>
      </c>
      <c r="N118" s="2">
        <v>143</v>
      </c>
      <c r="O118" s="41">
        <v>1.0624206700000001</v>
      </c>
      <c r="P118" s="6">
        <f t="shared" si="1"/>
        <v>0.63683773395399146</v>
      </c>
      <c r="Q118" s="6">
        <v>0.63683773395399146</v>
      </c>
      <c r="R118" s="32">
        <v>0.93485021150020275</v>
      </c>
      <c r="S118" s="7">
        <v>1.0391516813783246E-2</v>
      </c>
      <c r="T118" s="7">
        <v>1.707286113226707E-2</v>
      </c>
      <c r="U118" t="s">
        <v>73</v>
      </c>
    </row>
    <row r="119" spans="1:21" ht="15.75" customHeight="1" x14ac:dyDescent="0.25">
      <c r="A119" t="s">
        <v>37</v>
      </c>
      <c r="B119" t="s">
        <v>59</v>
      </c>
      <c r="C119" t="s">
        <v>15</v>
      </c>
      <c r="D119" t="s">
        <v>67</v>
      </c>
      <c r="E119" t="s">
        <v>20</v>
      </c>
      <c r="F119" t="s">
        <v>17</v>
      </c>
      <c r="G119" t="s">
        <v>33</v>
      </c>
      <c r="H119" s="1">
        <v>35.21</v>
      </c>
      <c r="I119" s="2">
        <v>128492</v>
      </c>
      <c r="J119" s="2">
        <v>54686</v>
      </c>
      <c r="K119" s="2">
        <v>378</v>
      </c>
      <c r="L119" s="2">
        <v>5567</v>
      </c>
      <c r="M119" s="2">
        <v>5532</v>
      </c>
      <c r="N119" s="2">
        <v>193</v>
      </c>
      <c r="O119" s="41">
        <v>0.10179936000000001</v>
      </c>
      <c r="P119" s="6">
        <f t="shared" si="1"/>
        <v>4.3053264016436818E-2</v>
      </c>
      <c r="Q119" s="6">
        <v>4.3053264016436818E-2</v>
      </c>
      <c r="R119" s="32">
        <v>0.27402484201351057</v>
      </c>
      <c r="S119" s="7">
        <v>2.9418173894094576E-3</v>
      </c>
      <c r="T119" s="7">
        <v>6.9121895914859366E-3</v>
      </c>
      <c r="U119" t="s">
        <v>73</v>
      </c>
    </row>
    <row r="120" spans="1:21" ht="15.75" customHeight="1" x14ac:dyDescent="0.25">
      <c r="A120" t="s">
        <v>37</v>
      </c>
      <c r="B120" t="s">
        <v>59</v>
      </c>
      <c r="C120" t="s">
        <v>15</v>
      </c>
      <c r="D120" t="s">
        <v>67</v>
      </c>
      <c r="E120" t="s">
        <v>16</v>
      </c>
      <c r="F120" t="s">
        <v>17</v>
      </c>
      <c r="G120" t="s">
        <v>34</v>
      </c>
      <c r="H120" s="1">
        <v>28.39</v>
      </c>
      <c r="I120" s="2">
        <v>102987</v>
      </c>
      <c r="J120" s="2">
        <v>55777</v>
      </c>
      <c r="K120" s="2">
        <v>246</v>
      </c>
      <c r="L120" s="2">
        <v>5438</v>
      </c>
      <c r="M120" s="2">
        <v>5387</v>
      </c>
      <c r="N120" s="2">
        <v>228</v>
      </c>
      <c r="O120" s="41">
        <v>9.7495380000000006E-2</v>
      </c>
      <c r="P120" s="6">
        <f t="shared" si="1"/>
        <v>5.2307572800450543E-2</v>
      </c>
      <c r="Q120" s="6">
        <v>5.2307572800450543E-2</v>
      </c>
      <c r="R120" s="32">
        <v>0.275665860739705</v>
      </c>
      <c r="S120" s="7">
        <v>2.3886509947857498E-3</v>
      </c>
      <c r="T120" s="7">
        <v>4.4104200656184447E-3</v>
      </c>
      <c r="U120" t="s">
        <v>73</v>
      </c>
    </row>
    <row r="121" spans="1:21" ht="15.75" customHeight="1" x14ac:dyDescent="0.25">
      <c r="A121" t="s">
        <v>37</v>
      </c>
      <c r="B121" t="s">
        <v>59</v>
      </c>
      <c r="C121" t="s">
        <v>15</v>
      </c>
      <c r="D121" t="s">
        <v>67</v>
      </c>
      <c r="E121" t="s">
        <v>20</v>
      </c>
      <c r="F121" t="s">
        <v>17</v>
      </c>
      <c r="G121" t="s">
        <v>18</v>
      </c>
      <c r="H121" s="1">
        <v>26.83</v>
      </c>
      <c r="I121" s="2">
        <v>94339</v>
      </c>
      <c r="J121" s="2">
        <v>32792</v>
      </c>
      <c r="K121" s="2">
        <v>24</v>
      </c>
      <c r="L121" s="2">
        <v>3792</v>
      </c>
      <c r="M121" s="2">
        <v>3747</v>
      </c>
      <c r="N121" s="2">
        <v>38</v>
      </c>
      <c r="O121" s="41">
        <v>0.11563796</v>
      </c>
      <c r="P121" s="6">
        <f t="shared" si="1"/>
        <v>3.9718462141850139E-2</v>
      </c>
      <c r="Q121" s="6">
        <v>3.9718462141850139E-2</v>
      </c>
      <c r="R121" s="32">
        <v>0.28439987703918845</v>
      </c>
      <c r="S121" s="7">
        <v>2.5440167905108171E-4</v>
      </c>
      <c r="T121" s="7">
        <v>7.318858258111735E-4</v>
      </c>
      <c r="U121" t="s">
        <v>73</v>
      </c>
    </row>
    <row r="122" spans="1:21" ht="15.75" customHeight="1" x14ac:dyDescent="0.25">
      <c r="A122" t="s">
        <v>37</v>
      </c>
      <c r="B122" t="s">
        <v>59</v>
      </c>
      <c r="C122" t="s">
        <v>15</v>
      </c>
      <c r="D122" t="s">
        <v>67</v>
      </c>
      <c r="E122" t="s">
        <v>16</v>
      </c>
      <c r="F122" t="s">
        <v>40</v>
      </c>
      <c r="G122" t="s">
        <v>34</v>
      </c>
      <c r="H122" s="1">
        <v>24.89</v>
      </c>
      <c r="I122" s="2">
        <v>87119</v>
      </c>
      <c r="J122" s="2">
        <v>43544</v>
      </c>
      <c r="K122" s="2">
        <v>179</v>
      </c>
      <c r="L122" s="2">
        <v>126</v>
      </c>
      <c r="M122" s="2">
        <v>0</v>
      </c>
      <c r="N122" s="2">
        <v>0</v>
      </c>
      <c r="O122" s="41">
        <v>2.89362E-3</v>
      </c>
      <c r="P122" s="6">
        <f t="shared" si="1"/>
        <v>0</v>
      </c>
      <c r="Q122" s="6">
        <v>0</v>
      </c>
      <c r="R122" s="32">
        <v>0.28570116736877149</v>
      </c>
      <c r="S122" s="7">
        <v>2.0546608661715583E-3</v>
      </c>
      <c r="T122" s="7">
        <v>4.1107844938453059E-3</v>
      </c>
      <c r="U122" t="s">
        <v>73</v>
      </c>
    </row>
    <row r="123" spans="1:21" ht="15.75" customHeight="1" x14ac:dyDescent="0.25">
      <c r="A123" t="s">
        <v>37</v>
      </c>
      <c r="B123" t="s">
        <v>59</v>
      </c>
      <c r="C123" t="s">
        <v>15</v>
      </c>
      <c r="D123" t="s">
        <v>67</v>
      </c>
      <c r="E123" t="s">
        <v>20</v>
      </c>
      <c r="F123" t="s">
        <v>17</v>
      </c>
      <c r="G123" t="s">
        <v>34</v>
      </c>
      <c r="H123" s="1">
        <v>24.11</v>
      </c>
      <c r="I123" s="2">
        <v>85579</v>
      </c>
      <c r="J123" s="2">
        <v>36360</v>
      </c>
      <c r="K123" s="2">
        <v>154</v>
      </c>
      <c r="L123" s="2">
        <v>2451</v>
      </c>
      <c r="M123" s="2">
        <v>2442</v>
      </c>
      <c r="N123" s="2">
        <v>2086</v>
      </c>
      <c r="O123" s="41">
        <v>6.7409239999999995E-2</v>
      </c>
      <c r="P123" s="6">
        <f t="shared" si="1"/>
        <v>2.8535037801329766E-2</v>
      </c>
      <c r="Q123" s="6">
        <v>2.8535037801329766E-2</v>
      </c>
      <c r="R123" s="32">
        <v>0.28172799401722387</v>
      </c>
      <c r="S123" s="7">
        <v>1.7995068883721473E-3</v>
      </c>
      <c r="T123" s="7">
        <v>4.2354235423542356E-3</v>
      </c>
      <c r="U123" t="s">
        <v>73</v>
      </c>
    </row>
    <row r="124" spans="1:21" ht="15.75" customHeight="1" x14ac:dyDescent="0.25">
      <c r="A124" t="s">
        <v>37</v>
      </c>
      <c r="B124" t="s">
        <v>59</v>
      </c>
      <c r="C124" t="s">
        <v>15</v>
      </c>
      <c r="D124" t="s">
        <v>67</v>
      </c>
      <c r="E124" t="s">
        <v>16</v>
      </c>
      <c r="F124" t="s">
        <v>17</v>
      </c>
      <c r="G124" t="s">
        <v>34</v>
      </c>
      <c r="H124" s="1">
        <v>18.420000000000002</v>
      </c>
      <c r="I124" s="2">
        <v>67183</v>
      </c>
      <c r="J124" s="2">
        <v>35647</v>
      </c>
      <c r="K124" s="2">
        <v>221</v>
      </c>
      <c r="L124" s="2">
        <v>2628</v>
      </c>
      <c r="M124" s="2">
        <v>2596</v>
      </c>
      <c r="N124" s="2">
        <v>87</v>
      </c>
      <c r="O124" s="41">
        <v>7.3722889999999999E-2</v>
      </c>
      <c r="P124" s="6">
        <f t="shared" si="1"/>
        <v>3.8640727565009005E-2</v>
      </c>
      <c r="Q124" s="6">
        <v>3.8640727565009005E-2</v>
      </c>
      <c r="R124" s="32">
        <v>0.27417650298438595</v>
      </c>
      <c r="S124" s="7">
        <v>3.2895226470982244E-3</v>
      </c>
      <c r="T124" s="7">
        <v>6.1996801974920747E-3</v>
      </c>
      <c r="U124" t="s">
        <v>73</v>
      </c>
    </row>
    <row r="125" spans="1:21" ht="15.75" customHeight="1" x14ac:dyDescent="0.25">
      <c r="A125" t="s">
        <v>37</v>
      </c>
      <c r="B125" t="s">
        <v>59</v>
      </c>
      <c r="C125" t="s">
        <v>15</v>
      </c>
      <c r="D125" t="s">
        <v>67</v>
      </c>
      <c r="E125" t="s">
        <v>20</v>
      </c>
      <c r="F125" t="s">
        <v>40</v>
      </c>
      <c r="G125" t="s">
        <v>34</v>
      </c>
      <c r="H125" s="1">
        <v>17.510000000000002</v>
      </c>
      <c r="I125" s="2">
        <v>64790</v>
      </c>
      <c r="J125" s="2">
        <v>36344</v>
      </c>
      <c r="K125" s="2">
        <v>104</v>
      </c>
      <c r="L125" s="2">
        <v>55</v>
      </c>
      <c r="M125" s="2">
        <v>0</v>
      </c>
      <c r="N125" s="2">
        <v>0</v>
      </c>
      <c r="O125" s="41">
        <v>1.5133200000000001E-3</v>
      </c>
      <c r="P125" s="6">
        <f t="shared" si="1"/>
        <v>0</v>
      </c>
      <c r="Q125" s="6">
        <v>0</v>
      </c>
      <c r="R125" s="32">
        <v>0.27025775582651651</v>
      </c>
      <c r="S125" s="7">
        <v>1.6051859854915881E-3</v>
      </c>
      <c r="T125" s="7">
        <v>2.8615452344265902E-3</v>
      </c>
      <c r="U125" t="s">
        <v>73</v>
      </c>
    </row>
    <row r="126" spans="1:21" ht="15.75" customHeight="1" x14ac:dyDescent="0.25">
      <c r="A126" t="s">
        <v>37</v>
      </c>
      <c r="B126" t="s">
        <v>59</v>
      </c>
      <c r="C126" t="s">
        <v>15</v>
      </c>
      <c r="D126" t="s">
        <v>67</v>
      </c>
      <c r="E126" t="s">
        <v>20</v>
      </c>
      <c r="F126" t="s">
        <v>17</v>
      </c>
      <c r="G126" t="s">
        <v>34</v>
      </c>
      <c r="H126" s="1">
        <v>17.440000000000001</v>
      </c>
      <c r="I126" s="2">
        <v>18147</v>
      </c>
      <c r="J126" s="2">
        <v>13756</v>
      </c>
      <c r="K126" s="2">
        <v>349</v>
      </c>
      <c r="L126" s="2">
        <v>13146</v>
      </c>
      <c r="M126" s="2">
        <v>12799</v>
      </c>
      <c r="N126" s="2">
        <v>18</v>
      </c>
      <c r="O126" s="41">
        <v>0.95565571000000005</v>
      </c>
      <c r="P126" s="6">
        <f t="shared" si="1"/>
        <v>0.70529564115280763</v>
      </c>
      <c r="Q126" s="6">
        <v>0.70529564115280763</v>
      </c>
      <c r="R126" s="32">
        <v>0.96104039235135297</v>
      </c>
      <c r="S126" s="7">
        <v>1.9231828952443929E-2</v>
      </c>
      <c r="T126" s="7">
        <v>2.5370747310264612E-2</v>
      </c>
      <c r="U126" t="s">
        <v>78</v>
      </c>
    </row>
    <row r="127" spans="1:21" ht="15.75" customHeight="1" x14ac:dyDescent="0.25">
      <c r="A127" t="s">
        <v>37</v>
      </c>
      <c r="B127" t="s">
        <v>59</v>
      </c>
      <c r="C127" t="s">
        <v>15</v>
      </c>
      <c r="D127" t="s">
        <v>67</v>
      </c>
      <c r="E127" t="s">
        <v>16</v>
      </c>
      <c r="F127" t="s">
        <v>17</v>
      </c>
      <c r="G127" t="s">
        <v>33</v>
      </c>
      <c r="H127" s="1">
        <v>15.63</v>
      </c>
      <c r="I127" s="2">
        <v>57045</v>
      </c>
      <c r="J127" s="2">
        <v>27600</v>
      </c>
      <c r="K127" s="2">
        <v>157</v>
      </c>
      <c r="L127" s="2">
        <v>3383</v>
      </c>
      <c r="M127" s="2">
        <v>3350</v>
      </c>
      <c r="N127" s="2">
        <v>134</v>
      </c>
      <c r="O127" s="41">
        <v>0.12257245999999999</v>
      </c>
      <c r="P127" s="6">
        <f t="shared" si="1"/>
        <v>5.8725567534402667E-2</v>
      </c>
      <c r="Q127" s="6">
        <v>5.8725567534402667E-2</v>
      </c>
      <c r="R127" s="32">
        <v>0.27399421509334737</v>
      </c>
      <c r="S127" s="7">
        <v>2.7522131650451398E-3</v>
      </c>
      <c r="T127" s="7">
        <v>5.6884057971014496E-3</v>
      </c>
      <c r="U127" t="s">
        <v>73</v>
      </c>
    </row>
    <row r="128" spans="1:21" ht="15.75" customHeight="1" x14ac:dyDescent="0.25">
      <c r="A128" t="s">
        <v>37</v>
      </c>
      <c r="B128" t="s">
        <v>59</v>
      </c>
      <c r="C128" t="s">
        <v>15</v>
      </c>
      <c r="D128" t="s">
        <v>67</v>
      </c>
      <c r="E128" t="s">
        <v>16</v>
      </c>
      <c r="F128" t="s">
        <v>17</v>
      </c>
      <c r="G128" t="s">
        <v>18</v>
      </c>
      <c r="H128" s="1">
        <v>15.02</v>
      </c>
      <c r="I128" s="2">
        <v>55635</v>
      </c>
      <c r="J128" s="2">
        <v>21963</v>
      </c>
      <c r="K128" s="2">
        <v>17</v>
      </c>
      <c r="L128" s="2">
        <v>1971</v>
      </c>
      <c r="M128" s="2">
        <v>1948</v>
      </c>
      <c r="N128" s="2">
        <v>10</v>
      </c>
      <c r="O128" s="41">
        <v>8.9741840000000003E-2</v>
      </c>
      <c r="P128" s="6">
        <f t="shared" si="1"/>
        <v>3.5013930079985621E-2</v>
      </c>
      <c r="Q128" s="6">
        <v>3.5013930079985621E-2</v>
      </c>
      <c r="R128" s="32">
        <v>0.26997393726970431</v>
      </c>
      <c r="S128" s="7">
        <v>3.0556304484587041E-4</v>
      </c>
      <c r="T128" s="7">
        <v>7.7402904885489233E-4</v>
      </c>
      <c r="U128" t="s">
        <v>73</v>
      </c>
    </row>
    <row r="129" spans="1:21" ht="15.75" customHeight="1" x14ac:dyDescent="0.25">
      <c r="A129" t="s">
        <v>37</v>
      </c>
      <c r="B129" t="s">
        <v>59</v>
      </c>
      <c r="C129" t="s">
        <v>15</v>
      </c>
      <c r="D129" t="s">
        <v>67</v>
      </c>
      <c r="E129" t="s">
        <v>16</v>
      </c>
      <c r="F129" t="s">
        <v>17</v>
      </c>
      <c r="G129" t="s">
        <v>33</v>
      </c>
      <c r="H129" s="1">
        <v>14.02</v>
      </c>
      <c r="I129" s="2">
        <v>51496</v>
      </c>
      <c r="J129" s="2">
        <v>30973</v>
      </c>
      <c r="K129" s="2">
        <v>112</v>
      </c>
      <c r="L129" s="2">
        <v>2285</v>
      </c>
      <c r="M129" s="2">
        <v>2260</v>
      </c>
      <c r="N129" s="2">
        <v>47</v>
      </c>
      <c r="O129" s="41">
        <v>7.3773930000000001E-2</v>
      </c>
      <c r="P129" s="6">
        <f t="shared" si="1"/>
        <v>4.3886903837191238E-2</v>
      </c>
      <c r="Q129" s="6">
        <v>4.3886903837191238E-2</v>
      </c>
      <c r="R129" s="32">
        <v>0.27225415566257577</v>
      </c>
      <c r="S129" s="7">
        <v>2.1749262078608047E-3</v>
      </c>
      <c r="T129" s="7">
        <v>3.6160526910534981E-3</v>
      </c>
      <c r="U129" t="s">
        <v>73</v>
      </c>
    </row>
    <row r="130" spans="1:21" ht="15.75" customHeight="1" x14ac:dyDescent="0.25">
      <c r="A130" t="s">
        <v>37</v>
      </c>
      <c r="B130" t="s">
        <v>59</v>
      </c>
      <c r="C130" t="s">
        <v>15</v>
      </c>
      <c r="D130" t="s">
        <v>67</v>
      </c>
      <c r="E130" t="s">
        <v>20</v>
      </c>
      <c r="F130" t="s">
        <v>40</v>
      </c>
      <c r="G130" t="s">
        <v>34</v>
      </c>
      <c r="H130" s="1">
        <v>13.24</v>
      </c>
      <c r="I130" s="2">
        <v>46831</v>
      </c>
      <c r="J130" s="2">
        <v>26736</v>
      </c>
      <c r="K130" s="2">
        <v>96</v>
      </c>
      <c r="L130" s="2">
        <v>60</v>
      </c>
      <c r="M130" s="2">
        <v>0</v>
      </c>
      <c r="N130" s="2">
        <v>0</v>
      </c>
      <c r="O130" s="41">
        <v>2.2441700000000002E-3</v>
      </c>
      <c r="P130" s="6">
        <f t="shared" si="1"/>
        <v>0</v>
      </c>
      <c r="Q130" s="6">
        <v>0</v>
      </c>
      <c r="R130" s="32">
        <v>0.28271871196429715</v>
      </c>
      <c r="S130" s="7">
        <v>2.04992419551152E-3</v>
      </c>
      <c r="T130" s="7">
        <v>3.5906642728904849E-3</v>
      </c>
      <c r="U130" t="s">
        <v>73</v>
      </c>
    </row>
    <row r="131" spans="1:21" ht="15.75" customHeight="1" x14ac:dyDescent="0.25">
      <c r="A131" t="s">
        <v>37</v>
      </c>
      <c r="B131" t="s">
        <v>59</v>
      </c>
      <c r="C131" t="s">
        <v>15</v>
      </c>
      <c r="D131" t="s">
        <v>67</v>
      </c>
      <c r="E131" t="s">
        <v>20</v>
      </c>
      <c r="F131" t="s">
        <v>17</v>
      </c>
      <c r="G131" t="s">
        <v>33</v>
      </c>
      <c r="H131" s="1">
        <v>12.72</v>
      </c>
      <c r="I131" s="2">
        <v>47601</v>
      </c>
      <c r="J131" s="2">
        <v>27480</v>
      </c>
      <c r="K131" s="2">
        <v>137</v>
      </c>
      <c r="L131" s="2">
        <v>2954</v>
      </c>
      <c r="M131" s="2">
        <v>2915</v>
      </c>
      <c r="N131" s="2">
        <v>120</v>
      </c>
      <c r="O131" s="41">
        <v>0.10749636</v>
      </c>
      <c r="P131" s="6">
        <f t="shared" ref="P131:P194" si="2">M131/I131</f>
        <v>6.1238209281317617E-2</v>
      </c>
      <c r="Q131" s="6">
        <v>6.1238209281317617E-2</v>
      </c>
      <c r="R131" s="32">
        <v>0.26722127686393143</v>
      </c>
      <c r="S131" s="7">
        <v>2.8780907964118399E-3</v>
      </c>
      <c r="T131" s="7">
        <v>4.985443959243086E-3</v>
      </c>
      <c r="U131" t="s">
        <v>73</v>
      </c>
    </row>
    <row r="132" spans="1:21" ht="15.75" customHeight="1" x14ac:dyDescent="0.25">
      <c r="A132" t="s">
        <v>37</v>
      </c>
      <c r="B132" t="s">
        <v>59</v>
      </c>
      <c r="C132" t="s">
        <v>15</v>
      </c>
      <c r="D132" t="s">
        <v>67</v>
      </c>
      <c r="E132" t="s">
        <v>20</v>
      </c>
      <c r="F132" t="s">
        <v>17</v>
      </c>
      <c r="G132" t="s">
        <v>34</v>
      </c>
      <c r="H132" s="1">
        <v>11.38</v>
      </c>
      <c r="I132" s="2">
        <v>42431</v>
      </c>
      <c r="J132" s="2">
        <v>22323</v>
      </c>
      <c r="K132" s="2">
        <v>126</v>
      </c>
      <c r="L132" s="2">
        <v>1503</v>
      </c>
      <c r="M132" s="2">
        <v>1482</v>
      </c>
      <c r="N132" s="2">
        <v>68</v>
      </c>
      <c r="O132" s="41">
        <v>6.732966E-2</v>
      </c>
      <c r="P132" s="6">
        <f t="shared" si="2"/>
        <v>3.4927293723928263E-2</v>
      </c>
      <c r="Q132" s="6">
        <v>3.4927293723928263E-2</v>
      </c>
      <c r="R132" s="32">
        <v>0.26820013669251258</v>
      </c>
      <c r="S132" s="7">
        <v>2.9695269967712286E-3</v>
      </c>
      <c r="T132" s="7">
        <v>5.6444026340545629E-3</v>
      </c>
      <c r="U132" t="s">
        <v>73</v>
      </c>
    </row>
    <row r="133" spans="1:21" ht="15.75" customHeight="1" x14ac:dyDescent="0.25">
      <c r="A133" t="s">
        <v>37</v>
      </c>
      <c r="B133" t="s">
        <v>59</v>
      </c>
      <c r="C133" t="s">
        <v>15</v>
      </c>
      <c r="D133" t="s">
        <v>67</v>
      </c>
      <c r="E133" t="s">
        <v>20</v>
      </c>
      <c r="F133" t="s">
        <v>17</v>
      </c>
      <c r="G133" t="s">
        <v>18</v>
      </c>
      <c r="H133" s="1">
        <v>11.35</v>
      </c>
      <c r="I133" s="2">
        <v>40191</v>
      </c>
      <c r="J133" s="2">
        <v>23088</v>
      </c>
      <c r="K133" s="2">
        <v>15</v>
      </c>
      <c r="L133" s="2">
        <v>2034</v>
      </c>
      <c r="M133" s="2">
        <v>2015</v>
      </c>
      <c r="N133" s="2">
        <v>35</v>
      </c>
      <c r="O133" s="41">
        <v>8.8097709999999996E-2</v>
      </c>
      <c r="P133" s="6">
        <f t="shared" si="2"/>
        <v>5.013560249807171E-2</v>
      </c>
      <c r="Q133" s="6">
        <v>5.013560249807171E-2</v>
      </c>
      <c r="R133" s="32">
        <v>0.28240153268144608</v>
      </c>
      <c r="S133" s="7">
        <v>3.7321788460103008E-4</v>
      </c>
      <c r="T133" s="7">
        <v>6.4968814968814972E-4</v>
      </c>
      <c r="U133" t="s">
        <v>73</v>
      </c>
    </row>
    <row r="134" spans="1:21" ht="15.75" customHeight="1" x14ac:dyDescent="0.25">
      <c r="A134" t="s">
        <v>37</v>
      </c>
      <c r="B134" t="s">
        <v>59</v>
      </c>
      <c r="C134" t="s">
        <v>15</v>
      </c>
      <c r="D134" t="s">
        <v>67</v>
      </c>
      <c r="E134" t="s">
        <v>20</v>
      </c>
      <c r="F134" t="s">
        <v>41</v>
      </c>
      <c r="G134" t="s">
        <v>34</v>
      </c>
      <c r="H134" s="1">
        <v>10.19</v>
      </c>
      <c r="I134" s="2">
        <v>33841</v>
      </c>
      <c r="J134" s="2">
        <v>22296</v>
      </c>
      <c r="K134" s="2">
        <v>39</v>
      </c>
      <c r="L134" s="2">
        <v>1706</v>
      </c>
      <c r="M134" s="2">
        <v>1690</v>
      </c>
      <c r="N134" s="2">
        <v>1708</v>
      </c>
      <c r="O134" s="41">
        <v>7.6515970000000003E-2</v>
      </c>
      <c r="P134" s="6">
        <f t="shared" si="2"/>
        <v>4.9939422593894979E-2</v>
      </c>
      <c r="Q134" s="6">
        <v>4.9939422593894979E-2</v>
      </c>
      <c r="R134" s="32">
        <v>0.30111403327324843</v>
      </c>
      <c r="S134" s="7">
        <v>1.1524482137052687E-3</v>
      </c>
      <c r="T134" s="7">
        <v>1.7491926803013991E-3</v>
      </c>
      <c r="U134" t="s">
        <v>73</v>
      </c>
    </row>
    <row r="135" spans="1:21" ht="15.75" customHeight="1" x14ac:dyDescent="0.25">
      <c r="A135" t="s">
        <v>37</v>
      </c>
      <c r="B135" t="s">
        <v>59</v>
      </c>
      <c r="C135" t="s">
        <v>15</v>
      </c>
      <c r="D135" t="s">
        <v>67</v>
      </c>
      <c r="E135" t="s">
        <v>16</v>
      </c>
      <c r="F135" t="s">
        <v>17</v>
      </c>
      <c r="G135" t="s">
        <v>18</v>
      </c>
      <c r="H135" s="1">
        <v>9.4600000000000009</v>
      </c>
      <c r="I135" s="2">
        <v>34405</v>
      </c>
      <c r="J135" s="2">
        <v>16319</v>
      </c>
      <c r="K135" s="2">
        <v>16</v>
      </c>
      <c r="L135" s="2">
        <v>1845</v>
      </c>
      <c r="M135" s="2">
        <v>1832</v>
      </c>
      <c r="N135" s="2">
        <v>11</v>
      </c>
      <c r="O135" s="41">
        <v>0.1130584</v>
      </c>
      <c r="P135" s="6">
        <f t="shared" si="2"/>
        <v>5.3248074407789565E-2</v>
      </c>
      <c r="Q135" s="6">
        <v>5.3248074407789565E-2</v>
      </c>
      <c r="R135" s="32">
        <v>0.27496003487865139</v>
      </c>
      <c r="S135" s="7">
        <v>4.6504868478418836E-4</v>
      </c>
      <c r="T135" s="7">
        <v>9.8045223359274469E-4</v>
      </c>
      <c r="U135" t="s">
        <v>73</v>
      </c>
    </row>
    <row r="136" spans="1:21" ht="15.75" customHeight="1" x14ac:dyDescent="0.25">
      <c r="A136" t="s">
        <v>37</v>
      </c>
      <c r="B136" t="s">
        <v>59</v>
      </c>
      <c r="C136" t="s">
        <v>15</v>
      </c>
      <c r="D136" t="s">
        <v>67</v>
      </c>
      <c r="E136" t="s">
        <v>16</v>
      </c>
      <c r="F136" t="s">
        <v>17</v>
      </c>
      <c r="G136" t="s">
        <v>33</v>
      </c>
      <c r="H136" s="1">
        <v>6.9</v>
      </c>
      <c r="I136" s="2">
        <v>12771</v>
      </c>
      <c r="J136" s="2">
        <v>8085</v>
      </c>
      <c r="K136" s="2">
        <v>71</v>
      </c>
      <c r="L136" s="2">
        <v>3895</v>
      </c>
      <c r="M136" s="2">
        <v>3831</v>
      </c>
      <c r="N136" s="2">
        <v>10</v>
      </c>
      <c r="O136" s="41">
        <v>0.48175634000000001</v>
      </c>
      <c r="P136" s="6">
        <f t="shared" si="2"/>
        <v>0.29997650927883485</v>
      </c>
      <c r="Q136" s="6">
        <v>0.29997650927883485</v>
      </c>
      <c r="R136" s="32">
        <v>0.54028658679821473</v>
      </c>
      <c r="S136" s="7">
        <v>5.5594706757497456E-3</v>
      </c>
      <c r="T136" s="7">
        <v>8.7816944959802096E-3</v>
      </c>
      <c r="U136" t="s">
        <v>73</v>
      </c>
    </row>
    <row r="137" spans="1:21" ht="15.75" customHeight="1" x14ac:dyDescent="0.25">
      <c r="A137" t="s">
        <v>37</v>
      </c>
      <c r="B137" t="s">
        <v>59</v>
      </c>
      <c r="C137" t="s">
        <v>15</v>
      </c>
      <c r="D137" t="s">
        <v>67</v>
      </c>
      <c r="E137" t="s">
        <v>20</v>
      </c>
      <c r="F137" t="s">
        <v>17</v>
      </c>
      <c r="G137" t="s">
        <v>18</v>
      </c>
      <c r="H137" s="1">
        <v>6.61</v>
      </c>
      <c r="I137" s="2">
        <v>23445</v>
      </c>
      <c r="J137" s="2">
        <v>15108</v>
      </c>
      <c r="K137" s="2">
        <v>8</v>
      </c>
      <c r="L137" s="2">
        <v>739</v>
      </c>
      <c r="M137" s="2">
        <v>732</v>
      </c>
      <c r="N137" s="2">
        <v>2</v>
      </c>
      <c r="O137" s="41">
        <v>4.8914480000000003E-2</v>
      </c>
      <c r="P137" s="6">
        <f t="shared" si="2"/>
        <v>3.1222008957133719E-2</v>
      </c>
      <c r="Q137" s="6">
        <v>3.1222008957133719E-2</v>
      </c>
      <c r="R137" s="32">
        <v>0.28193644700362552</v>
      </c>
      <c r="S137" s="7">
        <v>3.4122414160801877E-4</v>
      </c>
      <c r="T137" s="7">
        <v>5.2952078369075987E-4</v>
      </c>
      <c r="U137" t="s">
        <v>73</v>
      </c>
    </row>
    <row r="138" spans="1:21" ht="15.75" customHeight="1" x14ac:dyDescent="0.25">
      <c r="A138" t="s">
        <v>37</v>
      </c>
      <c r="B138" t="s">
        <v>59</v>
      </c>
      <c r="C138" t="s">
        <v>15</v>
      </c>
      <c r="D138" t="s">
        <v>67</v>
      </c>
      <c r="E138" t="s">
        <v>16</v>
      </c>
      <c r="F138" t="s">
        <v>17</v>
      </c>
      <c r="G138" t="s">
        <v>34</v>
      </c>
      <c r="H138" s="1">
        <v>6.21</v>
      </c>
      <c r="I138" s="2">
        <v>8299</v>
      </c>
      <c r="J138" s="2">
        <v>7194</v>
      </c>
      <c r="K138" s="2">
        <v>98</v>
      </c>
      <c r="L138" s="2">
        <v>4638</v>
      </c>
      <c r="M138" s="2">
        <v>4540</v>
      </c>
      <c r="N138" s="2">
        <v>19</v>
      </c>
      <c r="O138" s="41">
        <v>0.64470391999999999</v>
      </c>
      <c r="P138" s="6">
        <f t="shared" si="2"/>
        <v>0.54705386191107364</v>
      </c>
      <c r="Q138" s="6">
        <v>0.54705386191107364</v>
      </c>
      <c r="R138" s="32">
        <v>0.74828292565369314</v>
      </c>
      <c r="S138" s="7">
        <v>1.1808651644776479E-2</v>
      </c>
      <c r="T138" s="7">
        <v>1.3622463163747571E-2</v>
      </c>
      <c r="U138" t="s">
        <v>73</v>
      </c>
    </row>
    <row r="139" spans="1:21" ht="15.75" customHeight="1" x14ac:dyDescent="0.25">
      <c r="A139" t="s">
        <v>37</v>
      </c>
      <c r="B139" t="s">
        <v>59</v>
      </c>
      <c r="C139" t="s">
        <v>15</v>
      </c>
      <c r="D139" t="s">
        <v>67</v>
      </c>
      <c r="E139" t="s">
        <v>16</v>
      </c>
      <c r="F139" t="s">
        <v>17</v>
      </c>
      <c r="G139" t="s">
        <v>18</v>
      </c>
      <c r="H139" s="1">
        <v>5.6</v>
      </c>
      <c r="I139" s="2">
        <v>19993</v>
      </c>
      <c r="J139" s="2">
        <v>12720</v>
      </c>
      <c r="K139" s="2">
        <v>3</v>
      </c>
      <c r="L139" s="2">
        <v>1287</v>
      </c>
      <c r="M139" s="2">
        <v>1278</v>
      </c>
      <c r="N139" s="2">
        <v>18</v>
      </c>
      <c r="O139" s="41">
        <v>0.10117925</v>
      </c>
      <c r="P139" s="6">
        <f t="shared" si="2"/>
        <v>6.3922372830490667E-2</v>
      </c>
      <c r="Q139" s="6">
        <v>6.3922372830490667E-2</v>
      </c>
      <c r="R139" s="32">
        <v>0.28009803431200919</v>
      </c>
      <c r="S139" s="7">
        <v>1.500525183814335E-4</v>
      </c>
      <c r="T139" s="7">
        <v>2.3584905660377359E-4</v>
      </c>
      <c r="U139" t="s">
        <v>73</v>
      </c>
    </row>
    <row r="140" spans="1:21" ht="15.75" customHeight="1" x14ac:dyDescent="0.25">
      <c r="A140" t="s">
        <v>37</v>
      </c>
      <c r="B140" t="s">
        <v>59</v>
      </c>
      <c r="C140" t="s">
        <v>15</v>
      </c>
      <c r="D140" t="s">
        <v>67</v>
      </c>
      <c r="E140" t="s">
        <v>20</v>
      </c>
      <c r="F140" t="s">
        <v>17</v>
      </c>
      <c r="G140" t="s">
        <v>33</v>
      </c>
      <c r="H140" s="1">
        <v>4.01</v>
      </c>
      <c r="I140" s="2">
        <v>6651</v>
      </c>
      <c r="J140" s="2">
        <v>4241</v>
      </c>
      <c r="K140" s="2">
        <v>39</v>
      </c>
      <c r="L140" s="2">
        <v>2496</v>
      </c>
      <c r="M140" s="2">
        <v>2463</v>
      </c>
      <c r="N140" s="2">
        <v>8</v>
      </c>
      <c r="O140" s="41">
        <v>0.58854044000000005</v>
      </c>
      <c r="P140" s="6">
        <f t="shared" si="2"/>
        <v>0.37032025259359497</v>
      </c>
      <c r="Q140" s="6">
        <v>0.37032025259359497</v>
      </c>
      <c r="R140" s="32">
        <v>0.60291685460832956</v>
      </c>
      <c r="S140" s="7">
        <v>5.8637798827244026E-3</v>
      </c>
      <c r="T140" s="7">
        <v>9.1959443527469941E-3</v>
      </c>
      <c r="U140" t="s">
        <v>73</v>
      </c>
    </row>
    <row r="141" spans="1:21" ht="15.75" customHeight="1" x14ac:dyDescent="0.25">
      <c r="A141" t="s">
        <v>37</v>
      </c>
      <c r="B141" t="s">
        <v>59</v>
      </c>
      <c r="C141" t="s">
        <v>15</v>
      </c>
      <c r="D141" t="s">
        <v>67</v>
      </c>
      <c r="E141" t="s">
        <v>16</v>
      </c>
      <c r="F141" t="s">
        <v>41</v>
      </c>
      <c r="G141" t="s">
        <v>34</v>
      </c>
      <c r="H141" s="1">
        <v>3.37</v>
      </c>
      <c r="I141" s="2">
        <v>11301</v>
      </c>
      <c r="J141" s="2">
        <v>7830</v>
      </c>
      <c r="K141" s="2">
        <v>21</v>
      </c>
      <c r="L141" s="2">
        <v>462</v>
      </c>
      <c r="M141" s="2">
        <v>449</v>
      </c>
      <c r="N141" s="2">
        <v>483</v>
      </c>
      <c r="O141" s="41">
        <v>5.900383E-2</v>
      </c>
      <c r="P141" s="6">
        <f t="shared" si="2"/>
        <v>3.9730997256879924E-2</v>
      </c>
      <c r="Q141" s="6">
        <v>3.9730997256879924E-2</v>
      </c>
      <c r="R141" s="32">
        <v>0.29820369878771791</v>
      </c>
      <c r="S141" s="7">
        <v>1.8582426333952748E-3</v>
      </c>
      <c r="T141" s="7">
        <v>2.6819923371647512E-3</v>
      </c>
      <c r="U141" t="s">
        <v>73</v>
      </c>
    </row>
    <row r="142" spans="1:21" ht="15.75" customHeight="1" x14ac:dyDescent="0.25">
      <c r="A142" t="s">
        <v>37</v>
      </c>
      <c r="B142" t="s">
        <v>59</v>
      </c>
      <c r="C142" t="s">
        <v>15</v>
      </c>
      <c r="D142" t="s">
        <v>67</v>
      </c>
      <c r="E142" t="s">
        <v>16</v>
      </c>
      <c r="F142" t="s">
        <v>17</v>
      </c>
      <c r="G142" t="s">
        <v>34</v>
      </c>
      <c r="H142" s="1">
        <v>1.88</v>
      </c>
      <c r="I142" s="2">
        <v>4762</v>
      </c>
      <c r="J142" s="2">
        <v>3286</v>
      </c>
      <c r="K142" s="2">
        <v>8</v>
      </c>
      <c r="L142" s="2">
        <v>1057</v>
      </c>
      <c r="M142" s="2">
        <v>1049</v>
      </c>
      <c r="N142" s="2">
        <v>906</v>
      </c>
      <c r="O142" s="41">
        <v>0.32166768000000001</v>
      </c>
      <c r="P142" s="6">
        <f t="shared" si="2"/>
        <v>0.22028559428811423</v>
      </c>
      <c r="Q142" s="6">
        <v>0.22028559428811423</v>
      </c>
      <c r="R142" s="32">
        <v>0.39479210415791682</v>
      </c>
      <c r="S142" s="7">
        <v>1.6799664006719867E-3</v>
      </c>
      <c r="T142" s="7">
        <v>2.4345709068776629E-3</v>
      </c>
      <c r="U142" t="s">
        <v>73</v>
      </c>
    </row>
    <row r="143" spans="1:21" ht="15.75" customHeight="1" x14ac:dyDescent="0.25">
      <c r="A143" t="s">
        <v>37</v>
      </c>
      <c r="B143" t="s">
        <v>59</v>
      </c>
      <c r="C143" t="s">
        <v>15</v>
      </c>
      <c r="D143" t="s">
        <v>67</v>
      </c>
      <c r="E143" t="s">
        <v>20</v>
      </c>
      <c r="F143" t="s">
        <v>17</v>
      </c>
      <c r="G143" t="s">
        <v>34</v>
      </c>
      <c r="H143" s="1">
        <v>1.62</v>
      </c>
      <c r="I143" s="2">
        <v>4267</v>
      </c>
      <c r="J143" s="2">
        <v>3126</v>
      </c>
      <c r="K143" s="2">
        <v>11</v>
      </c>
      <c r="L143" s="2">
        <v>832</v>
      </c>
      <c r="M143" s="2">
        <v>831</v>
      </c>
      <c r="N143" s="2">
        <v>704</v>
      </c>
      <c r="O143" s="41">
        <v>0.26615483000000001</v>
      </c>
      <c r="P143" s="6">
        <f t="shared" si="2"/>
        <v>0.19475041012420904</v>
      </c>
      <c r="Q143" s="6">
        <v>0.19475041012420904</v>
      </c>
      <c r="R143" s="32">
        <v>0.37965783923131008</v>
      </c>
      <c r="S143" s="7">
        <v>2.5779235997187718E-3</v>
      </c>
      <c r="T143" s="7">
        <v>3.5188739603326941E-3</v>
      </c>
      <c r="U143" t="s">
        <v>73</v>
      </c>
    </row>
    <row r="144" spans="1:21" ht="15.75" customHeight="1" x14ac:dyDescent="0.25">
      <c r="A144" t="s">
        <v>37</v>
      </c>
      <c r="B144" t="s">
        <v>59</v>
      </c>
      <c r="C144" t="s">
        <v>15</v>
      </c>
      <c r="D144" t="s">
        <v>67</v>
      </c>
      <c r="E144" t="s">
        <v>20</v>
      </c>
      <c r="F144" t="s">
        <v>17</v>
      </c>
      <c r="G144" t="s">
        <v>18</v>
      </c>
      <c r="H144" s="1">
        <v>0.02</v>
      </c>
      <c r="I144" s="2">
        <v>57</v>
      </c>
      <c r="J144" s="2">
        <v>48</v>
      </c>
      <c r="K144" s="2">
        <v>0</v>
      </c>
      <c r="L144" s="2">
        <v>12</v>
      </c>
      <c r="M144" s="2">
        <v>12</v>
      </c>
      <c r="N144" s="2">
        <v>0</v>
      </c>
      <c r="O144" s="41">
        <v>0.25</v>
      </c>
      <c r="P144" s="6">
        <f t="shared" si="2"/>
        <v>0.21052631578947367</v>
      </c>
      <c r="Q144" s="6">
        <v>0.21052631578947367</v>
      </c>
      <c r="R144" s="32">
        <v>0.35087719298245618</v>
      </c>
      <c r="S144" s="7">
        <v>0</v>
      </c>
      <c r="T144" s="7">
        <v>0</v>
      </c>
      <c r="U144" t="s">
        <v>73</v>
      </c>
    </row>
    <row r="145" spans="1:21" ht="15.75" customHeight="1" x14ac:dyDescent="0.25">
      <c r="A145" t="s">
        <v>37</v>
      </c>
      <c r="B145" t="s">
        <v>59</v>
      </c>
      <c r="C145" t="s">
        <v>15</v>
      </c>
      <c r="D145" t="s">
        <v>67</v>
      </c>
      <c r="E145" t="s">
        <v>16</v>
      </c>
      <c r="F145" t="s">
        <v>41</v>
      </c>
      <c r="G145" t="s">
        <v>18</v>
      </c>
      <c r="H145" s="1">
        <v>0</v>
      </c>
      <c r="I145" s="2">
        <v>2</v>
      </c>
      <c r="J145" s="2">
        <v>2</v>
      </c>
      <c r="K145" s="2">
        <v>0</v>
      </c>
      <c r="L145" s="2">
        <v>0</v>
      </c>
      <c r="M145" s="2">
        <v>0</v>
      </c>
      <c r="N145" s="2">
        <v>0</v>
      </c>
      <c r="O145" s="41">
        <v>0</v>
      </c>
      <c r="P145" s="6">
        <f t="shared" si="2"/>
        <v>0</v>
      </c>
      <c r="Q145" s="6">
        <v>0</v>
      </c>
      <c r="R145" s="32">
        <v>0</v>
      </c>
      <c r="S145" s="7">
        <v>0</v>
      </c>
      <c r="T145" s="7">
        <v>0</v>
      </c>
      <c r="U145" t="s">
        <v>73</v>
      </c>
    </row>
    <row r="146" spans="1:21" ht="15.75" customHeight="1" x14ac:dyDescent="0.25">
      <c r="A146" t="s">
        <v>37</v>
      </c>
      <c r="B146" t="s">
        <v>59</v>
      </c>
      <c r="C146" t="s">
        <v>15</v>
      </c>
      <c r="D146" t="s">
        <v>67</v>
      </c>
      <c r="E146" t="s">
        <v>16</v>
      </c>
      <c r="F146" t="s">
        <v>17</v>
      </c>
      <c r="G146" t="s">
        <v>18</v>
      </c>
      <c r="H146" s="1">
        <v>0</v>
      </c>
      <c r="I146" s="2">
        <v>46</v>
      </c>
      <c r="J146" s="2">
        <v>39</v>
      </c>
      <c r="K146" s="2">
        <v>0</v>
      </c>
      <c r="L146" s="2">
        <v>7</v>
      </c>
      <c r="M146" s="2">
        <v>7</v>
      </c>
      <c r="N146" s="2">
        <v>0</v>
      </c>
      <c r="O146" s="41">
        <v>0.17948718</v>
      </c>
      <c r="P146" s="6">
        <f t="shared" si="2"/>
        <v>0.15217391304347827</v>
      </c>
      <c r="Q146" s="6">
        <v>0.15217391304347827</v>
      </c>
      <c r="R146" s="32">
        <v>0</v>
      </c>
      <c r="S146" s="7">
        <v>0</v>
      </c>
      <c r="T146" s="7">
        <v>0</v>
      </c>
      <c r="U146" t="s">
        <v>73</v>
      </c>
    </row>
    <row r="147" spans="1:21" ht="15.75" customHeight="1" x14ac:dyDescent="0.25">
      <c r="A147" t="s">
        <v>37</v>
      </c>
      <c r="B147" t="s">
        <v>59</v>
      </c>
      <c r="C147" t="s">
        <v>15</v>
      </c>
      <c r="D147" t="s">
        <v>67</v>
      </c>
      <c r="E147" t="s">
        <v>16</v>
      </c>
      <c r="F147" t="s">
        <v>17</v>
      </c>
      <c r="G147" t="s">
        <v>18</v>
      </c>
      <c r="H147" s="1">
        <v>0</v>
      </c>
      <c r="I147" s="2">
        <v>50</v>
      </c>
      <c r="J147" s="2">
        <v>39</v>
      </c>
      <c r="K147" s="2">
        <v>0</v>
      </c>
      <c r="L147" s="2">
        <v>9</v>
      </c>
      <c r="M147" s="2">
        <v>9</v>
      </c>
      <c r="N147" s="2">
        <v>0</v>
      </c>
      <c r="O147" s="41">
        <v>0.23076922999999999</v>
      </c>
      <c r="P147" s="6">
        <f t="shared" si="2"/>
        <v>0.18</v>
      </c>
      <c r="Q147" s="6">
        <v>0.18</v>
      </c>
      <c r="R147" s="32">
        <v>0</v>
      </c>
      <c r="S147" s="7">
        <v>0</v>
      </c>
      <c r="T147" s="7">
        <v>0</v>
      </c>
      <c r="U147" t="s">
        <v>73</v>
      </c>
    </row>
    <row r="148" spans="1:21" ht="15.75" customHeight="1" x14ac:dyDescent="0.25">
      <c r="A148" t="s">
        <v>37</v>
      </c>
      <c r="B148" t="s">
        <v>59</v>
      </c>
      <c r="C148" t="s">
        <v>15</v>
      </c>
      <c r="D148" t="s">
        <v>67</v>
      </c>
      <c r="E148" t="s">
        <v>20</v>
      </c>
      <c r="F148" t="s">
        <v>17</v>
      </c>
      <c r="G148" t="s">
        <v>18</v>
      </c>
      <c r="H148" s="1">
        <v>0</v>
      </c>
      <c r="I148" s="2">
        <v>24</v>
      </c>
      <c r="J148" s="2">
        <v>20</v>
      </c>
      <c r="K148" s="2">
        <v>0</v>
      </c>
      <c r="L148" s="2">
        <v>8</v>
      </c>
      <c r="M148" s="2">
        <v>8</v>
      </c>
      <c r="N148" s="2">
        <v>0</v>
      </c>
      <c r="O148" s="41">
        <v>0.4</v>
      </c>
      <c r="P148" s="6">
        <f t="shared" si="2"/>
        <v>0.33333333333333331</v>
      </c>
      <c r="Q148" s="6">
        <v>0.33333333333333331</v>
      </c>
      <c r="R148" s="32">
        <v>0</v>
      </c>
      <c r="S148" s="7">
        <v>0</v>
      </c>
      <c r="T148" s="7">
        <v>0</v>
      </c>
      <c r="U148" t="s">
        <v>73</v>
      </c>
    </row>
    <row r="149" spans="1:21" ht="15.75" customHeight="1" x14ac:dyDescent="0.25">
      <c r="A149" t="s">
        <v>37</v>
      </c>
      <c r="B149" t="s">
        <v>59</v>
      </c>
      <c r="C149" t="s">
        <v>15</v>
      </c>
      <c r="D149" t="s">
        <v>67</v>
      </c>
      <c r="E149" t="s">
        <v>20</v>
      </c>
      <c r="F149" t="s">
        <v>17</v>
      </c>
      <c r="G149" t="s">
        <v>18</v>
      </c>
      <c r="H149" s="1">
        <v>0</v>
      </c>
      <c r="I149" s="2">
        <v>21</v>
      </c>
      <c r="J149" s="2">
        <v>19</v>
      </c>
      <c r="K149" s="2">
        <v>0</v>
      </c>
      <c r="L149" s="2">
        <v>2</v>
      </c>
      <c r="M149" s="2">
        <v>2</v>
      </c>
      <c r="N149" s="2">
        <v>0</v>
      </c>
      <c r="O149" s="41">
        <v>0.10526315999999999</v>
      </c>
      <c r="P149" s="6">
        <f t="shared" si="2"/>
        <v>9.5238095238095233E-2</v>
      </c>
      <c r="Q149" s="6">
        <v>9.5238095238095233E-2</v>
      </c>
      <c r="R149" s="32">
        <v>0</v>
      </c>
      <c r="S149" s="7">
        <v>0</v>
      </c>
      <c r="T149" s="7">
        <v>0</v>
      </c>
      <c r="U149" t="s">
        <v>73</v>
      </c>
    </row>
    <row r="150" spans="1:21" ht="15.75" customHeight="1" x14ac:dyDescent="0.25">
      <c r="A150" t="s">
        <v>23</v>
      </c>
      <c r="B150" t="s">
        <v>57</v>
      </c>
      <c r="C150" t="s">
        <v>15</v>
      </c>
      <c r="D150" t="s">
        <v>67</v>
      </c>
      <c r="E150" t="s">
        <v>16</v>
      </c>
      <c r="F150" t="s">
        <v>17</v>
      </c>
      <c r="G150" t="s">
        <v>33</v>
      </c>
      <c r="H150" s="1">
        <v>1533.7</v>
      </c>
      <c r="I150" s="2">
        <v>2890910</v>
      </c>
      <c r="J150" s="2">
        <v>572164</v>
      </c>
      <c r="K150" s="2">
        <v>12938</v>
      </c>
      <c r="L150" s="2">
        <v>487419</v>
      </c>
      <c r="M150" s="2">
        <v>479638</v>
      </c>
      <c r="N150" s="2">
        <v>7803</v>
      </c>
      <c r="O150" s="41">
        <v>0.85188686999999996</v>
      </c>
      <c r="P150" s="6">
        <f t="shared" si="2"/>
        <v>0.16591246354953976</v>
      </c>
      <c r="Q150" s="6">
        <v>0.16591246354953976</v>
      </c>
      <c r="R150" s="32">
        <v>0.53052499040094647</v>
      </c>
      <c r="S150" s="7">
        <v>4.4754073976706298E-3</v>
      </c>
      <c r="T150" s="7">
        <v>2.261239784397481E-2</v>
      </c>
      <c r="U150" t="s">
        <v>73</v>
      </c>
    </row>
    <row r="151" spans="1:21" ht="15.75" customHeight="1" x14ac:dyDescent="0.25">
      <c r="A151" t="s">
        <v>23</v>
      </c>
      <c r="B151" t="s">
        <v>57</v>
      </c>
      <c r="C151" t="s">
        <v>15</v>
      </c>
      <c r="D151" t="s">
        <v>67</v>
      </c>
      <c r="E151" t="s">
        <v>16</v>
      </c>
      <c r="F151" t="s">
        <v>17</v>
      </c>
      <c r="G151" t="s">
        <v>33</v>
      </c>
      <c r="H151" s="1">
        <v>659.13</v>
      </c>
      <c r="I151" s="2">
        <v>2379089</v>
      </c>
      <c r="J151" s="2">
        <v>627297</v>
      </c>
      <c r="K151" s="2">
        <v>8917</v>
      </c>
      <c r="L151" s="2">
        <v>137328</v>
      </c>
      <c r="M151" s="2">
        <v>135957</v>
      </c>
      <c r="N151" s="2">
        <v>4086</v>
      </c>
      <c r="O151" s="41">
        <v>0.21892022</v>
      </c>
      <c r="P151" s="6">
        <f t="shared" si="2"/>
        <v>5.7146664122275377E-2</v>
      </c>
      <c r="Q151" s="6">
        <v>5.7146664122275377E-2</v>
      </c>
      <c r="R151" s="32">
        <v>0.27705142598700594</v>
      </c>
      <c r="S151" s="7">
        <v>3.7480733171394599E-3</v>
      </c>
      <c r="T151" s="7">
        <v>1.4214957189337751E-2</v>
      </c>
      <c r="U151" t="s">
        <v>73</v>
      </c>
    </row>
    <row r="152" spans="1:21" ht="15.75" customHeight="1" x14ac:dyDescent="0.25">
      <c r="A152" t="s">
        <v>23</v>
      </c>
      <c r="B152" t="s">
        <v>57</v>
      </c>
      <c r="C152" t="s">
        <v>15</v>
      </c>
      <c r="D152" t="s">
        <v>67</v>
      </c>
      <c r="E152" t="s">
        <v>20</v>
      </c>
      <c r="F152" t="s">
        <v>17</v>
      </c>
      <c r="G152" t="s">
        <v>33</v>
      </c>
      <c r="H152" s="1">
        <v>631.9</v>
      </c>
      <c r="I152" s="2">
        <v>1435006</v>
      </c>
      <c r="J152" s="2">
        <v>336515</v>
      </c>
      <c r="K152" s="2">
        <v>5757</v>
      </c>
      <c r="L152" s="2">
        <v>201450</v>
      </c>
      <c r="M152" s="2">
        <v>197754</v>
      </c>
      <c r="N152" s="2">
        <v>6812</v>
      </c>
      <c r="O152" s="41">
        <v>0.59863602000000005</v>
      </c>
      <c r="P152" s="6">
        <f t="shared" si="2"/>
        <v>0.13780708930833738</v>
      </c>
      <c r="Q152" s="6">
        <v>0.13780708930833738</v>
      </c>
      <c r="R152" s="32">
        <v>0.44034659088533423</v>
      </c>
      <c r="S152" s="7">
        <v>4.0118299156937324E-3</v>
      </c>
      <c r="T152" s="7">
        <v>1.7107706937283629E-2</v>
      </c>
      <c r="U152" t="s">
        <v>73</v>
      </c>
    </row>
    <row r="153" spans="1:21" ht="15.75" customHeight="1" x14ac:dyDescent="0.25">
      <c r="A153" t="s">
        <v>23</v>
      </c>
      <c r="B153" t="s">
        <v>57</v>
      </c>
      <c r="C153" t="s">
        <v>15</v>
      </c>
      <c r="D153" t="s">
        <v>67</v>
      </c>
      <c r="E153" t="s">
        <v>20</v>
      </c>
      <c r="F153" t="s">
        <v>17</v>
      </c>
      <c r="G153" t="s">
        <v>34</v>
      </c>
      <c r="H153" s="1">
        <v>410.74</v>
      </c>
      <c r="I153" s="2">
        <v>1530173</v>
      </c>
      <c r="J153" s="2">
        <v>479356</v>
      </c>
      <c r="K153" s="2">
        <v>5623</v>
      </c>
      <c r="L153" s="2">
        <v>64862</v>
      </c>
      <c r="M153" s="2">
        <v>64038</v>
      </c>
      <c r="N153" s="2">
        <v>3434</v>
      </c>
      <c r="O153" s="41">
        <v>0.13531071</v>
      </c>
      <c r="P153" s="6">
        <f t="shared" si="2"/>
        <v>4.1850169882751823E-2</v>
      </c>
      <c r="Q153" s="6">
        <v>4.1850169882751823E-2</v>
      </c>
      <c r="R153" s="32">
        <v>0.26842716477156503</v>
      </c>
      <c r="S153" s="7">
        <v>3.6747478879839077E-3</v>
      </c>
      <c r="T153" s="7">
        <v>1.173032151469889E-2</v>
      </c>
      <c r="U153" t="s">
        <v>73</v>
      </c>
    </row>
    <row r="154" spans="1:21" ht="15.75" customHeight="1" x14ac:dyDescent="0.25">
      <c r="A154" t="s">
        <v>23</v>
      </c>
      <c r="B154" t="s">
        <v>57</v>
      </c>
      <c r="C154" t="s">
        <v>15</v>
      </c>
      <c r="D154" t="s">
        <v>67</v>
      </c>
      <c r="E154" t="s">
        <v>16</v>
      </c>
      <c r="F154" t="s">
        <v>17</v>
      </c>
      <c r="G154" t="s">
        <v>33</v>
      </c>
      <c r="H154" s="1">
        <v>339.29</v>
      </c>
      <c r="I154" s="2">
        <v>723097</v>
      </c>
      <c r="J154" s="2">
        <v>287236</v>
      </c>
      <c r="K154" s="2">
        <v>3639</v>
      </c>
      <c r="L154" s="2">
        <v>108445</v>
      </c>
      <c r="M154" s="2">
        <v>106020</v>
      </c>
      <c r="N154" s="2">
        <v>3058</v>
      </c>
      <c r="O154" s="41">
        <v>0.37754669000000002</v>
      </c>
      <c r="P154" s="6">
        <f t="shared" si="2"/>
        <v>0.14661933322915183</v>
      </c>
      <c r="Q154" s="6">
        <v>0.14661933322915183</v>
      </c>
      <c r="R154" s="32">
        <v>0.46921782278172913</v>
      </c>
      <c r="S154" s="7">
        <v>5.0325198417363092E-3</v>
      </c>
      <c r="T154" s="7">
        <v>1.266902477405339E-2</v>
      </c>
      <c r="U154" t="s">
        <v>73</v>
      </c>
    </row>
    <row r="155" spans="1:21" ht="15.75" customHeight="1" x14ac:dyDescent="0.25">
      <c r="A155" t="s">
        <v>23</v>
      </c>
      <c r="B155" t="s">
        <v>57</v>
      </c>
      <c r="C155" t="s">
        <v>15</v>
      </c>
      <c r="D155" t="s">
        <v>67</v>
      </c>
      <c r="E155" t="s">
        <v>16</v>
      </c>
      <c r="F155" t="s">
        <v>40</v>
      </c>
      <c r="G155" t="s">
        <v>34</v>
      </c>
      <c r="H155" s="1">
        <v>308.31</v>
      </c>
      <c r="I155" s="2">
        <v>1102753</v>
      </c>
      <c r="J155" s="2">
        <v>331260</v>
      </c>
      <c r="K155" s="2">
        <v>3087</v>
      </c>
      <c r="L155" s="2">
        <v>2006</v>
      </c>
      <c r="M155" s="2">
        <v>0</v>
      </c>
      <c r="N155" s="2">
        <v>0</v>
      </c>
      <c r="O155" s="41">
        <v>6.05567E-3</v>
      </c>
      <c r="P155" s="6">
        <f t="shared" si="2"/>
        <v>0</v>
      </c>
      <c r="Q155" s="6">
        <v>0</v>
      </c>
      <c r="R155" s="32">
        <v>0.27958210043409543</v>
      </c>
      <c r="S155" s="7">
        <v>2.7993576077326473E-3</v>
      </c>
      <c r="T155" s="7">
        <v>9.3189639558051082E-3</v>
      </c>
      <c r="U155" t="s">
        <v>73</v>
      </c>
    </row>
    <row r="156" spans="1:21" ht="15.75" customHeight="1" x14ac:dyDescent="0.25">
      <c r="A156" t="s">
        <v>23</v>
      </c>
      <c r="B156" t="s">
        <v>57</v>
      </c>
      <c r="C156" t="s">
        <v>15</v>
      </c>
      <c r="D156" t="s">
        <v>67</v>
      </c>
      <c r="E156" t="s">
        <v>16</v>
      </c>
      <c r="F156" t="s">
        <v>17</v>
      </c>
      <c r="G156" t="s">
        <v>34</v>
      </c>
      <c r="H156" s="1">
        <v>275.41000000000003</v>
      </c>
      <c r="I156" s="2">
        <v>421925</v>
      </c>
      <c r="J156" s="2">
        <v>138112</v>
      </c>
      <c r="K156" s="2">
        <v>3275</v>
      </c>
      <c r="L156" s="2">
        <v>104545</v>
      </c>
      <c r="M156" s="2">
        <v>102084</v>
      </c>
      <c r="N156" s="2">
        <v>1793</v>
      </c>
      <c r="O156" s="41">
        <v>0.75695811999999996</v>
      </c>
      <c r="P156" s="6">
        <f t="shared" si="2"/>
        <v>0.24194821354506132</v>
      </c>
      <c r="Q156" s="6">
        <v>0.24194821354506132</v>
      </c>
      <c r="R156" s="32">
        <v>0.65274634117437935</v>
      </c>
      <c r="S156" s="7">
        <v>7.7620430171238966E-3</v>
      </c>
      <c r="T156" s="7">
        <v>2.3712639017608901E-2</v>
      </c>
      <c r="U156" t="s">
        <v>73</v>
      </c>
    </row>
    <row r="157" spans="1:21" ht="15.75" customHeight="1" x14ac:dyDescent="0.25">
      <c r="A157" t="s">
        <v>23</v>
      </c>
      <c r="B157" t="s">
        <v>57</v>
      </c>
      <c r="C157" t="s">
        <v>15</v>
      </c>
      <c r="D157" t="s">
        <v>67</v>
      </c>
      <c r="E157" t="s">
        <v>20</v>
      </c>
      <c r="F157" t="s">
        <v>17</v>
      </c>
      <c r="G157" t="s">
        <v>34</v>
      </c>
      <c r="H157" s="1">
        <v>262.14999999999998</v>
      </c>
      <c r="I157" s="2">
        <v>931135</v>
      </c>
      <c r="J157" s="2">
        <v>406400</v>
      </c>
      <c r="K157" s="2">
        <v>2955</v>
      </c>
      <c r="L157" s="2">
        <v>35071</v>
      </c>
      <c r="M157" s="2">
        <v>33857</v>
      </c>
      <c r="N157" s="2">
        <v>1080</v>
      </c>
      <c r="O157" s="41">
        <v>8.6296750000000005E-2</v>
      </c>
      <c r="P157" s="6">
        <f t="shared" si="2"/>
        <v>3.6361000284598904E-2</v>
      </c>
      <c r="Q157" s="6">
        <v>3.6361000284598904E-2</v>
      </c>
      <c r="R157" s="32">
        <v>0.28153812282859092</v>
      </c>
      <c r="S157" s="7">
        <v>3.1735462634311889E-3</v>
      </c>
      <c r="T157" s="7">
        <v>7.2711614173228342E-3</v>
      </c>
      <c r="U157" t="s">
        <v>73</v>
      </c>
    </row>
    <row r="158" spans="1:21" ht="15.75" customHeight="1" x14ac:dyDescent="0.25">
      <c r="A158" t="s">
        <v>23</v>
      </c>
      <c r="B158" t="s">
        <v>57</v>
      </c>
      <c r="C158" t="s">
        <v>15</v>
      </c>
      <c r="D158" t="s">
        <v>67</v>
      </c>
      <c r="E158" t="s">
        <v>20</v>
      </c>
      <c r="F158" t="s">
        <v>17</v>
      </c>
      <c r="G158" t="s">
        <v>34</v>
      </c>
      <c r="H158" s="1">
        <v>192.92</v>
      </c>
      <c r="I158" s="2">
        <v>169985</v>
      </c>
      <c r="J158" s="2">
        <v>98082</v>
      </c>
      <c r="K158" s="2">
        <v>2219</v>
      </c>
      <c r="L158" s="2">
        <v>128951</v>
      </c>
      <c r="M158" s="2">
        <v>126826</v>
      </c>
      <c r="N158" s="2">
        <v>269</v>
      </c>
      <c r="O158" s="41">
        <v>1.31472645</v>
      </c>
      <c r="P158" s="6">
        <f t="shared" si="2"/>
        <v>0.7461011265699915</v>
      </c>
      <c r="Q158" s="6">
        <v>0.7461011265699915</v>
      </c>
      <c r="R158" s="32">
        <v>1.1349236697355649</v>
      </c>
      <c r="S158" s="7">
        <v>1.3054093008206607E-2</v>
      </c>
      <c r="T158" s="7">
        <v>2.2623926918292861E-2</v>
      </c>
      <c r="U158" t="s">
        <v>73</v>
      </c>
    </row>
    <row r="159" spans="1:21" ht="15.75" customHeight="1" x14ac:dyDescent="0.25">
      <c r="A159" t="s">
        <v>23</v>
      </c>
      <c r="B159" t="s">
        <v>57</v>
      </c>
      <c r="C159" t="s">
        <v>38</v>
      </c>
      <c r="D159" t="s">
        <v>68</v>
      </c>
      <c r="E159" t="s">
        <v>16</v>
      </c>
      <c r="F159" t="s">
        <v>17</v>
      </c>
      <c r="G159" t="s">
        <v>33</v>
      </c>
      <c r="H159" s="1">
        <v>184.8</v>
      </c>
      <c r="I159" s="2">
        <v>79353</v>
      </c>
      <c r="J159" s="2">
        <v>5990</v>
      </c>
      <c r="K159" s="2">
        <v>540</v>
      </c>
      <c r="L159" s="2">
        <v>16179</v>
      </c>
      <c r="M159" s="2">
        <v>15784</v>
      </c>
      <c r="N159" s="2">
        <v>293</v>
      </c>
      <c r="O159" s="41">
        <v>2.7010016700000001</v>
      </c>
      <c r="P159" s="6">
        <f t="shared" si="2"/>
        <v>0.19890867390016762</v>
      </c>
      <c r="Q159" s="6">
        <v>0.19890867390016762</v>
      </c>
      <c r="R159" s="32">
        <v>2.3288344486030774</v>
      </c>
      <c r="S159" s="7">
        <v>6.8050357264375638E-3</v>
      </c>
      <c r="T159" s="7">
        <v>9.0150250417362271E-2</v>
      </c>
      <c r="U159" t="s">
        <v>73</v>
      </c>
    </row>
    <row r="160" spans="1:21" ht="15.75" customHeight="1" x14ac:dyDescent="0.25">
      <c r="A160" t="s">
        <v>23</v>
      </c>
      <c r="B160" t="s">
        <v>57</v>
      </c>
      <c r="C160" t="s">
        <v>15</v>
      </c>
      <c r="D160" t="s">
        <v>67</v>
      </c>
      <c r="E160" t="s">
        <v>20</v>
      </c>
      <c r="F160" t="s">
        <v>17</v>
      </c>
      <c r="G160" t="s">
        <v>33</v>
      </c>
      <c r="H160" s="1">
        <v>161.28</v>
      </c>
      <c r="I160" s="2">
        <v>573917</v>
      </c>
      <c r="J160" s="2">
        <v>270516</v>
      </c>
      <c r="K160" s="2">
        <v>2167</v>
      </c>
      <c r="L160" s="2">
        <v>31096</v>
      </c>
      <c r="M160" s="2">
        <v>30585</v>
      </c>
      <c r="N160" s="2">
        <v>961</v>
      </c>
      <c r="O160" s="41">
        <v>0.11495068999999999</v>
      </c>
      <c r="P160" s="6">
        <f t="shared" si="2"/>
        <v>5.3291678064946675E-2</v>
      </c>
      <c r="Q160" s="6">
        <v>5.3291678064946675E-2</v>
      </c>
      <c r="R160" s="32">
        <v>0.28101624450922347</v>
      </c>
      <c r="S160" s="7">
        <v>3.7758073031466223E-3</v>
      </c>
      <c r="T160" s="7">
        <v>8.010616747253398E-3</v>
      </c>
      <c r="U160" t="s">
        <v>73</v>
      </c>
    </row>
    <row r="161" spans="1:21" ht="15.75" customHeight="1" x14ac:dyDescent="0.25">
      <c r="A161" t="s">
        <v>23</v>
      </c>
      <c r="B161" t="s">
        <v>57</v>
      </c>
      <c r="C161" t="s">
        <v>15</v>
      </c>
      <c r="D161" t="s">
        <v>67</v>
      </c>
      <c r="E161" t="s">
        <v>16</v>
      </c>
      <c r="F161" t="s">
        <v>17</v>
      </c>
      <c r="G161" t="s">
        <v>34</v>
      </c>
      <c r="H161" s="1">
        <v>158.44999999999999</v>
      </c>
      <c r="I161" s="2">
        <v>558614</v>
      </c>
      <c r="J161" s="2">
        <v>255024</v>
      </c>
      <c r="K161" s="2">
        <v>1860</v>
      </c>
      <c r="L161" s="2">
        <v>23268</v>
      </c>
      <c r="M161" s="2">
        <v>22655</v>
      </c>
      <c r="N161" s="2">
        <v>733</v>
      </c>
      <c r="O161" s="41">
        <v>9.1238470000000002E-2</v>
      </c>
      <c r="P161" s="6">
        <f t="shared" si="2"/>
        <v>4.0555732580995103E-2</v>
      </c>
      <c r="Q161" s="6">
        <v>4.0555732580995103E-2</v>
      </c>
      <c r="R161" s="32">
        <v>0.28364845850623149</v>
      </c>
      <c r="S161" s="7">
        <v>3.3296695034496092E-3</v>
      </c>
      <c r="T161" s="7">
        <v>7.293431206474685E-3</v>
      </c>
      <c r="U161" t="s">
        <v>73</v>
      </c>
    </row>
    <row r="162" spans="1:21" ht="15.75" customHeight="1" x14ac:dyDescent="0.25">
      <c r="A162" t="s">
        <v>23</v>
      </c>
      <c r="B162" t="s">
        <v>57</v>
      </c>
      <c r="C162" t="s">
        <v>15</v>
      </c>
      <c r="D162" t="s">
        <v>67</v>
      </c>
      <c r="E162" t="s">
        <v>16</v>
      </c>
      <c r="F162" t="s">
        <v>40</v>
      </c>
      <c r="G162" t="s">
        <v>34</v>
      </c>
      <c r="H162" s="1">
        <v>152.9</v>
      </c>
      <c r="I162" s="2">
        <v>537940</v>
      </c>
      <c r="J162" s="2">
        <v>197021</v>
      </c>
      <c r="K162" s="2">
        <v>1654</v>
      </c>
      <c r="L162" s="2">
        <v>1118</v>
      </c>
      <c r="M162" s="2">
        <v>0</v>
      </c>
      <c r="N162" s="2">
        <v>0</v>
      </c>
      <c r="O162" s="41">
        <v>5.6745199999999997E-3</v>
      </c>
      <c r="P162" s="6">
        <f t="shared" si="2"/>
        <v>0</v>
      </c>
      <c r="Q162" s="6">
        <v>0</v>
      </c>
      <c r="R162" s="32">
        <v>0.28423244227980821</v>
      </c>
      <c r="S162" s="7">
        <v>3.0746923448711754E-3</v>
      </c>
      <c r="T162" s="7">
        <v>8.3950441831073842E-3</v>
      </c>
      <c r="U162" t="s">
        <v>73</v>
      </c>
    </row>
    <row r="163" spans="1:21" ht="15.75" customHeight="1" x14ac:dyDescent="0.25">
      <c r="A163" t="s">
        <v>23</v>
      </c>
      <c r="B163" t="s">
        <v>57</v>
      </c>
      <c r="C163" t="s">
        <v>15</v>
      </c>
      <c r="D163" t="s">
        <v>67</v>
      </c>
      <c r="E163" t="s">
        <v>16</v>
      </c>
      <c r="F163" t="s">
        <v>17</v>
      </c>
      <c r="G163" t="s">
        <v>34</v>
      </c>
      <c r="H163" s="1">
        <v>149.79</v>
      </c>
      <c r="I163" s="2">
        <v>178283</v>
      </c>
      <c r="J163" s="2">
        <v>98768</v>
      </c>
      <c r="K163" s="2">
        <v>1625</v>
      </c>
      <c r="L163" s="2">
        <v>77246</v>
      </c>
      <c r="M163" s="2">
        <v>75894</v>
      </c>
      <c r="N163" s="2">
        <v>1014</v>
      </c>
      <c r="O163" s="41">
        <v>0.78209541999999999</v>
      </c>
      <c r="P163" s="6">
        <f t="shared" si="2"/>
        <v>0.42569398091797872</v>
      </c>
      <c r="Q163" s="6">
        <v>0.42569398091797872</v>
      </c>
      <c r="R163" s="32">
        <v>0.84018106044883689</v>
      </c>
      <c r="S163" s="7">
        <v>9.1147220991345222E-3</v>
      </c>
      <c r="T163" s="7">
        <v>1.6452697229872019E-2</v>
      </c>
      <c r="U163" t="s">
        <v>73</v>
      </c>
    </row>
    <row r="164" spans="1:21" ht="15.75" customHeight="1" x14ac:dyDescent="0.25">
      <c r="A164" t="s">
        <v>23</v>
      </c>
      <c r="B164" t="s">
        <v>57</v>
      </c>
      <c r="C164" t="s">
        <v>15</v>
      </c>
      <c r="D164" t="s">
        <v>67</v>
      </c>
      <c r="E164" t="s">
        <v>20</v>
      </c>
      <c r="F164" t="s">
        <v>17</v>
      </c>
      <c r="G164" t="s">
        <v>33</v>
      </c>
      <c r="H164" s="1">
        <v>111.18</v>
      </c>
      <c r="I164" s="2">
        <v>160470</v>
      </c>
      <c r="J164" s="2">
        <v>93569</v>
      </c>
      <c r="K164" s="2">
        <v>1028</v>
      </c>
      <c r="L164" s="2">
        <v>58602</v>
      </c>
      <c r="M164" s="2">
        <v>57741</v>
      </c>
      <c r="N164" s="2">
        <v>326</v>
      </c>
      <c r="O164" s="41">
        <v>0.62629716999999996</v>
      </c>
      <c r="P164" s="6">
        <f t="shared" si="2"/>
        <v>0.35982426621798469</v>
      </c>
      <c r="Q164" s="6">
        <v>0.35982426621798469</v>
      </c>
      <c r="R164" s="32">
        <v>0.69283978313703498</v>
      </c>
      <c r="S164" s="7">
        <v>6.4061818408425253E-3</v>
      </c>
      <c r="T164" s="7">
        <v>1.098654468894612E-2</v>
      </c>
      <c r="U164" t="s">
        <v>73</v>
      </c>
    </row>
    <row r="165" spans="1:21" ht="15.75" customHeight="1" x14ac:dyDescent="0.25">
      <c r="A165" t="s">
        <v>23</v>
      </c>
      <c r="B165" t="s">
        <v>57</v>
      </c>
      <c r="C165" t="s">
        <v>15</v>
      </c>
      <c r="D165" t="s">
        <v>67</v>
      </c>
      <c r="E165" t="s">
        <v>20</v>
      </c>
      <c r="F165" t="s">
        <v>17</v>
      </c>
      <c r="G165" t="s">
        <v>34</v>
      </c>
      <c r="H165" s="1">
        <v>109.61</v>
      </c>
      <c r="I165" s="2">
        <v>95633</v>
      </c>
      <c r="J165" s="2">
        <v>61184</v>
      </c>
      <c r="K165" s="2">
        <v>1360</v>
      </c>
      <c r="L165" s="2">
        <v>74535</v>
      </c>
      <c r="M165" s="2">
        <v>73201</v>
      </c>
      <c r="N165" s="2">
        <v>202</v>
      </c>
      <c r="O165" s="41">
        <v>1.2182106399999999</v>
      </c>
      <c r="P165" s="6">
        <f t="shared" si="2"/>
        <v>0.76543661706733035</v>
      </c>
      <c r="Q165" s="6">
        <v>0.76543661706733035</v>
      </c>
      <c r="R165" s="32">
        <v>1.146152478746876</v>
      </c>
      <c r="S165" s="7">
        <v>1.4221032488785252E-2</v>
      </c>
      <c r="T165" s="7">
        <v>2.222803347280335E-2</v>
      </c>
      <c r="U165" t="s">
        <v>73</v>
      </c>
    </row>
    <row r="166" spans="1:21" ht="15.75" customHeight="1" x14ac:dyDescent="0.25">
      <c r="A166" t="s">
        <v>23</v>
      </c>
      <c r="B166" t="s">
        <v>57</v>
      </c>
      <c r="C166" t="s">
        <v>38</v>
      </c>
      <c r="D166" t="s">
        <v>68</v>
      </c>
      <c r="E166" t="s">
        <v>20</v>
      </c>
      <c r="F166" t="s">
        <v>17</v>
      </c>
      <c r="G166" t="s">
        <v>33</v>
      </c>
      <c r="H166" s="1">
        <v>100.12</v>
      </c>
      <c r="I166" s="2">
        <v>57678</v>
      </c>
      <c r="J166" s="2">
        <v>3518</v>
      </c>
      <c r="K166" s="2">
        <v>318</v>
      </c>
      <c r="L166" s="2">
        <v>8555</v>
      </c>
      <c r="M166" s="2">
        <v>8354</v>
      </c>
      <c r="N166" s="2">
        <v>320</v>
      </c>
      <c r="O166" s="41">
        <v>2.4317794199999998</v>
      </c>
      <c r="P166" s="6">
        <f t="shared" si="2"/>
        <v>0.14483858663615243</v>
      </c>
      <c r="Q166" s="6">
        <v>0.14483858663615243</v>
      </c>
      <c r="R166" s="32">
        <v>1.7358438226013386</v>
      </c>
      <c r="S166" s="7">
        <v>5.5133673150941434E-3</v>
      </c>
      <c r="T166" s="7">
        <v>9.0392268334280837E-2</v>
      </c>
      <c r="U166" t="s">
        <v>73</v>
      </c>
    </row>
    <row r="167" spans="1:21" ht="15.75" customHeight="1" x14ac:dyDescent="0.25">
      <c r="A167" t="s">
        <v>23</v>
      </c>
      <c r="B167" t="s">
        <v>57</v>
      </c>
      <c r="C167" t="s">
        <v>15</v>
      </c>
      <c r="D167" t="s">
        <v>67</v>
      </c>
      <c r="E167" t="s">
        <v>20</v>
      </c>
      <c r="F167" t="s">
        <v>40</v>
      </c>
      <c r="G167" t="s">
        <v>34</v>
      </c>
      <c r="H167" s="1">
        <v>88.64</v>
      </c>
      <c r="I167" s="2">
        <v>303640</v>
      </c>
      <c r="J167" s="2">
        <v>162048</v>
      </c>
      <c r="K167" s="2">
        <v>829</v>
      </c>
      <c r="L167" s="2">
        <v>562</v>
      </c>
      <c r="M167" s="2">
        <v>0</v>
      </c>
      <c r="N167" s="2">
        <v>0</v>
      </c>
      <c r="O167" s="41">
        <v>3.4681099999999999E-3</v>
      </c>
      <c r="P167" s="6">
        <f t="shared" si="2"/>
        <v>0</v>
      </c>
      <c r="Q167" s="6">
        <v>0</v>
      </c>
      <c r="R167" s="32">
        <v>0.29192464760901066</v>
      </c>
      <c r="S167" s="7">
        <v>2.7302068238703727E-3</v>
      </c>
      <c r="T167" s="7">
        <v>5.1157681674565561E-3</v>
      </c>
      <c r="U167" t="s">
        <v>73</v>
      </c>
    </row>
    <row r="168" spans="1:21" ht="15.75" customHeight="1" x14ac:dyDescent="0.25">
      <c r="A168" t="s">
        <v>23</v>
      </c>
      <c r="B168" t="s">
        <v>57</v>
      </c>
      <c r="C168" t="s">
        <v>15</v>
      </c>
      <c r="D168" t="s">
        <v>67</v>
      </c>
      <c r="E168" t="s">
        <v>16</v>
      </c>
      <c r="F168" t="s">
        <v>40</v>
      </c>
      <c r="G168" t="s">
        <v>34</v>
      </c>
      <c r="H168" s="1">
        <v>83.81</v>
      </c>
      <c r="I168" s="2">
        <v>277350</v>
      </c>
      <c r="J168" s="2">
        <v>118689</v>
      </c>
      <c r="K168" s="2">
        <v>872</v>
      </c>
      <c r="L168" s="2">
        <v>589</v>
      </c>
      <c r="M168" s="2">
        <v>0</v>
      </c>
      <c r="N168" s="2">
        <v>0</v>
      </c>
      <c r="O168" s="41">
        <v>4.9625499999999996E-3</v>
      </c>
      <c r="P168" s="6">
        <f t="shared" si="2"/>
        <v>0</v>
      </c>
      <c r="Q168" s="6">
        <v>0</v>
      </c>
      <c r="R168" s="32">
        <v>0.30218135929331169</v>
      </c>
      <c r="S168" s="7">
        <v>3.1440418244095907E-3</v>
      </c>
      <c r="T168" s="7">
        <v>7.3469318976484774E-3</v>
      </c>
      <c r="U168" t="s">
        <v>73</v>
      </c>
    </row>
    <row r="169" spans="1:21" ht="15.75" customHeight="1" x14ac:dyDescent="0.25">
      <c r="A169" t="s">
        <v>23</v>
      </c>
      <c r="B169" t="s">
        <v>57</v>
      </c>
      <c r="C169" t="s">
        <v>15</v>
      </c>
      <c r="D169" t="s">
        <v>67</v>
      </c>
      <c r="E169" t="s">
        <v>16</v>
      </c>
      <c r="F169" t="s">
        <v>17</v>
      </c>
      <c r="G169" t="s">
        <v>33</v>
      </c>
      <c r="H169" s="1">
        <v>83.69</v>
      </c>
      <c r="I169" s="2">
        <v>156769</v>
      </c>
      <c r="J169" s="2">
        <v>49026</v>
      </c>
      <c r="K169" s="2">
        <v>422</v>
      </c>
      <c r="L169" s="2">
        <v>27611</v>
      </c>
      <c r="M169" s="2">
        <v>27351</v>
      </c>
      <c r="N169" s="2">
        <v>207</v>
      </c>
      <c r="O169" s="41">
        <v>0.56319096000000002</v>
      </c>
      <c r="P169" s="6">
        <f t="shared" si="2"/>
        <v>0.17446689077559976</v>
      </c>
      <c r="Q169" s="6">
        <v>0.17446689077559976</v>
      </c>
      <c r="R169" s="32">
        <v>0.53384278779605654</v>
      </c>
      <c r="S169" s="7">
        <v>2.6918587220687764E-3</v>
      </c>
      <c r="T169" s="7">
        <v>8.6076775588463262E-3</v>
      </c>
      <c r="U169" t="s">
        <v>73</v>
      </c>
    </row>
    <row r="170" spans="1:21" ht="15.75" customHeight="1" x14ac:dyDescent="0.25">
      <c r="A170" t="s">
        <v>23</v>
      </c>
      <c r="B170" t="s">
        <v>57</v>
      </c>
      <c r="C170" t="s">
        <v>38</v>
      </c>
      <c r="D170" t="s">
        <v>68</v>
      </c>
      <c r="E170" t="s">
        <v>16</v>
      </c>
      <c r="F170" t="s">
        <v>17</v>
      </c>
      <c r="G170" t="s">
        <v>34</v>
      </c>
      <c r="H170" s="1">
        <v>76.5</v>
      </c>
      <c r="I170" s="2">
        <v>17765</v>
      </c>
      <c r="J170" s="2">
        <v>3702</v>
      </c>
      <c r="K170" s="2">
        <v>347</v>
      </c>
      <c r="L170" s="2">
        <v>12144</v>
      </c>
      <c r="M170" s="2">
        <v>11809</v>
      </c>
      <c r="N170" s="2">
        <v>63</v>
      </c>
      <c r="O170" s="41">
        <v>3.2803889800000001</v>
      </c>
      <c r="P170" s="6">
        <f t="shared" si="2"/>
        <v>0.6647340275823248</v>
      </c>
      <c r="Q170" s="6">
        <v>0.6647340275823248</v>
      </c>
      <c r="R170" s="32">
        <v>4.3062200956937797</v>
      </c>
      <c r="S170" s="7">
        <v>1.9532789192231916E-2</v>
      </c>
      <c r="T170" s="7">
        <v>9.3733117233927604E-2</v>
      </c>
      <c r="U170" t="s">
        <v>78</v>
      </c>
    </row>
    <row r="171" spans="1:21" ht="15.75" customHeight="1" x14ac:dyDescent="0.25">
      <c r="A171" t="s">
        <v>23</v>
      </c>
      <c r="B171" t="s">
        <v>57</v>
      </c>
      <c r="C171" t="s">
        <v>38</v>
      </c>
      <c r="D171" t="s">
        <v>68</v>
      </c>
      <c r="E171" t="s">
        <v>20</v>
      </c>
      <c r="F171" t="s">
        <v>40</v>
      </c>
      <c r="G171" t="s">
        <v>34</v>
      </c>
      <c r="H171" s="1">
        <v>71.87</v>
      </c>
      <c r="I171" s="2">
        <v>46090</v>
      </c>
      <c r="J171" s="2">
        <v>3718</v>
      </c>
      <c r="K171" s="2">
        <v>158</v>
      </c>
      <c r="L171" s="2">
        <v>77</v>
      </c>
      <c r="M171" s="2">
        <v>0</v>
      </c>
      <c r="N171" s="2">
        <v>0</v>
      </c>
      <c r="O171" s="41">
        <v>2.0710059999999999E-2</v>
      </c>
      <c r="P171" s="6">
        <f t="shared" si="2"/>
        <v>0</v>
      </c>
      <c r="Q171" s="6">
        <v>0</v>
      </c>
      <c r="R171" s="32">
        <v>1.5593404209156001</v>
      </c>
      <c r="S171" s="7">
        <v>3.4280755044478195E-3</v>
      </c>
      <c r="T171" s="7">
        <v>4.249596557288865E-2</v>
      </c>
      <c r="U171" t="s">
        <v>73</v>
      </c>
    </row>
    <row r="172" spans="1:21" ht="15.75" customHeight="1" x14ac:dyDescent="0.25">
      <c r="A172" t="s">
        <v>23</v>
      </c>
      <c r="B172" t="s">
        <v>57</v>
      </c>
      <c r="C172" t="s">
        <v>15</v>
      </c>
      <c r="D172" t="s">
        <v>67</v>
      </c>
      <c r="E172" t="s">
        <v>16</v>
      </c>
      <c r="F172" t="s">
        <v>17</v>
      </c>
      <c r="G172" t="s">
        <v>34</v>
      </c>
      <c r="H172" s="1">
        <v>65.819999999999993</v>
      </c>
      <c r="I172" s="2">
        <v>240485</v>
      </c>
      <c r="J172" s="2">
        <v>123995</v>
      </c>
      <c r="K172" s="2">
        <v>783</v>
      </c>
      <c r="L172" s="2">
        <v>9265</v>
      </c>
      <c r="M172" s="2">
        <v>9122</v>
      </c>
      <c r="N172" s="2">
        <v>467</v>
      </c>
      <c r="O172" s="41">
        <v>7.4720750000000002E-2</v>
      </c>
      <c r="P172" s="6">
        <f t="shared" si="2"/>
        <v>3.7931679730544524E-2</v>
      </c>
      <c r="Q172" s="6">
        <v>3.7931679730544524E-2</v>
      </c>
      <c r="R172" s="32">
        <v>0.27369690417281739</v>
      </c>
      <c r="S172" s="7">
        <v>3.2559203276711643E-3</v>
      </c>
      <c r="T172" s="7">
        <v>6.3147707568853581E-3</v>
      </c>
      <c r="U172" t="s">
        <v>73</v>
      </c>
    </row>
    <row r="173" spans="1:21" ht="15.75" customHeight="1" x14ac:dyDescent="0.25">
      <c r="A173" t="s">
        <v>23</v>
      </c>
      <c r="B173" t="s">
        <v>57</v>
      </c>
      <c r="C173" t="s">
        <v>15</v>
      </c>
      <c r="D173" t="s">
        <v>67</v>
      </c>
      <c r="E173" t="s">
        <v>16</v>
      </c>
      <c r="F173" t="s">
        <v>17</v>
      </c>
      <c r="G173" t="s">
        <v>33</v>
      </c>
      <c r="H173" s="1">
        <v>58.05</v>
      </c>
      <c r="I173" s="2">
        <v>203258</v>
      </c>
      <c r="J173" s="2">
        <v>99100</v>
      </c>
      <c r="K173" s="2">
        <v>629</v>
      </c>
      <c r="L173" s="2">
        <v>9933</v>
      </c>
      <c r="M173" s="2">
        <v>9862</v>
      </c>
      <c r="N173" s="2">
        <v>390</v>
      </c>
      <c r="O173" s="41">
        <v>0.10023209</v>
      </c>
      <c r="P173" s="6">
        <f t="shared" si="2"/>
        <v>4.8519615464089977E-2</v>
      </c>
      <c r="Q173" s="6">
        <v>4.8519615464089977E-2</v>
      </c>
      <c r="R173" s="32">
        <v>0.2855976148540279</v>
      </c>
      <c r="S173" s="7">
        <v>3.0945891428627655E-3</v>
      </c>
      <c r="T173" s="7">
        <v>6.3471241170534806E-3</v>
      </c>
      <c r="U173" t="s">
        <v>73</v>
      </c>
    </row>
    <row r="174" spans="1:21" ht="15.75" customHeight="1" x14ac:dyDescent="0.25">
      <c r="A174" t="s">
        <v>23</v>
      </c>
      <c r="B174" t="s">
        <v>57</v>
      </c>
      <c r="C174" t="s">
        <v>38</v>
      </c>
      <c r="D174" t="s">
        <v>68</v>
      </c>
      <c r="E174" t="s">
        <v>16</v>
      </c>
      <c r="F174" t="s">
        <v>17</v>
      </c>
      <c r="G174" t="s">
        <v>34</v>
      </c>
      <c r="H174" s="1">
        <v>54.56</v>
      </c>
      <c r="I174" s="2">
        <v>15753</v>
      </c>
      <c r="J174" s="2">
        <v>3720</v>
      </c>
      <c r="K174" s="2">
        <v>319</v>
      </c>
      <c r="L174" s="2">
        <v>7917</v>
      </c>
      <c r="M174" s="2">
        <v>7617</v>
      </c>
      <c r="N174" s="2">
        <v>68</v>
      </c>
      <c r="O174" s="41">
        <v>2.12822581</v>
      </c>
      <c r="P174" s="6">
        <f t="shared" si="2"/>
        <v>0.48352694724814321</v>
      </c>
      <c r="Q174" s="6">
        <v>0.48352694724814321</v>
      </c>
      <c r="R174" s="32">
        <v>3.4634672760743985</v>
      </c>
      <c r="S174" s="7">
        <v>2.0250111089951121E-2</v>
      </c>
      <c r="T174" s="7">
        <v>8.5752688172043012E-2</v>
      </c>
      <c r="U174" t="s">
        <v>78</v>
      </c>
    </row>
    <row r="175" spans="1:21" ht="15.75" customHeight="1" x14ac:dyDescent="0.25">
      <c r="A175" t="s">
        <v>23</v>
      </c>
      <c r="B175" t="s">
        <v>57</v>
      </c>
      <c r="C175" t="s">
        <v>15</v>
      </c>
      <c r="D175" t="s">
        <v>67</v>
      </c>
      <c r="E175" t="s">
        <v>16</v>
      </c>
      <c r="F175" t="s">
        <v>17</v>
      </c>
      <c r="G175" t="s">
        <v>34</v>
      </c>
      <c r="H175" s="1">
        <v>51.73</v>
      </c>
      <c r="I175" s="2">
        <v>186875</v>
      </c>
      <c r="J175" s="2">
        <v>107585</v>
      </c>
      <c r="K175" s="2">
        <v>576</v>
      </c>
      <c r="L175" s="2">
        <v>6845</v>
      </c>
      <c r="M175" s="2">
        <v>6756</v>
      </c>
      <c r="N175" s="2">
        <v>179</v>
      </c>
      <c r="O175" s="41">
        <v>6.3624109999999998E-2</v>
      </c>
      <c r="P175" s="6">
        <f t="shared" si="2"/>
        <v>3.6152508361204011E-2</v>
      </c>
      <c r="Q175" s="6">
        <v>3.6152508361204011E-2</v>
      </c>
      <c r="R175" s="32">
        <v>0.27681605351170568</v>
      </c>
      <c r="S175" s="7">
        <v>3.0822742474916386E-3</v>
      </c>
      <c r="T175" s="7">
        <v>5.3539062136914997E-3</v>
      </c>
      <c r="U175" t="s">
        <v>73</v>
      </c>
    </row>
    <row r="176" spans="1:21" ht="15.75" customHeight="1" x14ac:dyDescent="0.25">
      <c r="A176" t="s">
        <v>23</v>
      </c>
      <c r="B176" t="s">
        <v>57</v>
      </c>
      <c r="C176" t="s">
        <v>38</v>
      </c>
      <c r="D176" t="s">
        <v>68</v>
      </c>
      <c r="E176" t="s">
        <v>20</v>
      </c>
      <c r="F176" t="s">
        <v>17</v>
      </c>
      <c r="G176" t="s">
        <v>34</v>
      </c>
      <c r="H176" s="1">
        <v>48.09</v>
      </c>
      <c r="I176" s="2">
        <v>10599</v>
      </c>
      <c r="J176" s="2">
        <v>2243</v>
      </c>
      <c r="K176" s="2">
        <v>268</v>
      </c>
      <c r="L176" s="2">
        <v>7891</v>
      </c>
      <c r="M176" s="2">
        <v>7635</v>
      </c>
      <c r="N176" s="2">
        <v>37</v>
      </c>
      <c r="O176" s="41">
        <v>3.5180561699999999</v>
      </c>
      <c r="P176" s="6">
        <f t="shared" si="2"/>
        <v>0.72035097650721769</v>
      </c>
      <c r="Q176" s="6">
        <v>0.72035097650721769</v>
      </c>
      <c r="R176" s="32">
        <v>4.5372204924992925</v>
      </c>
      <c r="S176" s="7">
        <v>2.5285404283422963E-2</v>
      </c>
      <c r="T176" s="7">
        <v>0.1194828354881855</v>
      </c>
      <c r="U176" t="s">
        <v>78</v>
      </c>
    </row>
    <row r="177" spans="1:21" ht="15.75" customHeight="1" x14ac:dyDescent="0.25">
      <c r="A177" t="s">
        <v>23</v>
      </c>
      <c r="B177" t="s">
        <v>57</v>
      </c>
      <c r="C177" t="s">
        <v>15</v>
      </c>
      <c r="D177" t="s">
        <v>67</v>
      </c>
      <c r="E177" t="s">
        <v>16</v>
      </c>
      <c r="F177" t="s">
        <v>17</v>
      </c>
      <c r="G177" t="s">
        <v>34</v>
      </c>
      <c r="H177" s="1">
        <v>47.21</v>
      </c>
      <c r="I177" s="2">
        <v>173235</v>
      </c>
      <c r="J177" s="2">
        <v>80319</v>
      </c>
      <c r="K177" s="2">
        <v>356</v>
      </c>
      <c r="L177" s="2">
        <v>3606</v>
      </c>
      <c r="M177" s="2">
        <v>3521</v>
      </c>
      <c r="N177" s="2">
        <v>3045</v>
      </c>
      <c r="O177" s="41">
        <v>4.4895980000000002E-2</v>
      </c>
      <c r="P177" s="6">
        <f t="shared" si="2"/>
        <v>2.0324992062804862E-2</v>
      </c>
      <c r="Q177" s="6">
        <v>2.0324992062804862E-2</v>
      </c>
      <c r="R177" s="32">
        <v>0.27251998730048776</v>
      </c>
      <c r="S177" s="7">
        <v>2.0550119779490289E-3</v>
      </c>
      <c r="T177" s="7">
        <v>4.4323260996775356E-3</v>
      </c>
      <c r="U177" t="s">
        <v>73</v>
      </c>
    </row>
    <row r="178" spans="1:21" ht="15.75" customHeight="1" x14ac:dyDescent="0.25">
      <c r="A178" t="s">
        <v>23</v>
      </c>
      <c r="B178" t="s">
        <v>57</v>
      </c>
      <c r="C178" t="s">
        <v>15</v>
      </c>
      <c r="D178" t="s">
        <v>67</v>
      </c>
      <c r="E178" t="s">
        <v>20</v>
      </c>
      <c r="F178" t="s">
        <v>17</v>
      </c>
      <c r="G178" t="s">
        <v>34</v>
      </c>
      <c r="H178" s="1">
        <v>47.13</v>
      </c>
      <c r="I178" s="2">
        <v>173380</v>
      </c>
      <c r="J178" s="2">
        <v>88016</v>
      </c>
      <c r="K178" s="2">
        <v>499</v>
      </c>
      <c r="L178" s="2">
        <v>4830</v>
      </c>
      <c r="M178" s="2">
        <v>4785</v>
      </c>
      <c r="N178" s="2">
        <v>215</v>
      </c>
      <c r="O178" s="41">
        <v>5.4876389999999997E-2</v>
      </c>
      <c r="P178" s="6">
        <f t="shared" si="2"/>
        <v>2.7598338908755335E-2</v>
      </c>
      <c r="Q178" s="6">
        <v>2.7598338908755335E-2</v>
      </c>
      <c r="R178" s="32">
        <v>0.27183066097589115</v>
      </c>
      <c r="S178" s="7">
        <v>2.8780712884992504E-3</v>
      </c>
      <c r="T178" s="7">
        <v>5.6694237411379746E-3</v>
      </c>
      <c r="U178" t="s">
        <v>73</v>
      </c>
    </row>
    <row r="179" spans="1:21" ht="15.75" customHeight="1" x14ac:dyDescent="0.25">
      <c r="A179" t="s">
        <v>23</v>
      </c>
      <c r="B179" t="s">
        <v>57</v>
      </c>
      <c r="C179" t="s">
        <v>38</v>
      </c>
      <c r="D179" t="s">
        <v>68</v>
      </c>
      <c r="E179" t="s">
        <v>16</v>
      </c>
      <c r="F179" t="s">
        <v>17</v>
      </c>
      <c r="G179" t="s">
        <v>33</v>
      </c>
      <c r="H179" s="1">
        <v>45.87</v>
      </c>
      <c r="I179" s="2">
        <v>21048</v>
      </c>
      <c r="J179" s="2">
        <v>3980</v>
      </c>
      <c r="K179" s="2">
        <v>166</v>
      </c>
      <c r="L179" s="2">
        <v>4773</v>
      </c>
      <c r="M179" s="2">
        <v>4637</v>
      </c>
      <c r="N179" s="2">
        <v>109</v>
      </c>
      <c r="O179" s="41">
        <v>1.19924623</v>
      </c>
      <c r="P179" s="6">
        <f t="shared" si="2"/>
        <v>0.22030596731280883</v>
      </c>
      <c r="Q179" s="6">
        <v>0.22030596731280883</v>
      </c>
      <c r="R179" s="32">
        <v>2.1793044469783349</v>
      </c>
      <c r="S179" s="7">
        <v>7.8867350817179785E-3</v>
      </c>
      <c r="T179" s="7">
        <v>4.1708542713567838E-2</v>
      </c>
      <c r="U179" t="s">
        <v>73</v>
      </c>
    </row>
    <row r="180" spans="1:21" ht="15.75" customHeight="1" x14ac:dyDescent="0.25">
      <c r="A180" t="s">
        <v>23</v>
      </c>
      <c r="B180" t="s">
        <v>57</v>
      </c>
      <c r="C180" t="s">
        <v>38</v>
      </c>
      <c r="D180" t="s">
        <v>68</v>
      </c>
      <c r="E180" t="s">
        <v>16</v>
      </c>
      <c r="F180" t="s">
        <v>17</v>
      </c>
      <c r="G180" t="s">
        <v>33</v>
      </c>
      <c r="H180" s="1">
        <v>45.16</v>
      </c>
      <c r="I180" s="2">
        <v>20750</v>
      </c>
      <c r="J180" s="2">
        <v>2290</v>
      </c>
      <c r="K180" s="2">
        <v>116</v>
      </c>
      <c r="L180" s="2">
        <v>4509</v>
      </c>
      <c r="M180" s="2">
        <v>4416</v>
      </c>
      <c r="N180" s="2">
        <v>43</v>
      </c>
      <c r="O180" s="41">
        <v>1.96899563</v>
      </c>
      <c r="P180" s="6">
        <f t="shared" si="2"/>
        <v>0.21281927710843374</v>
      </c>
      <c r="Q180" s="6">
        <v>0.21281927710843374</v>
      </c>
      <c r="R180" s="32">
        <v>2.1763855421686742</v>
      </c>
      <c r="S180" s="7">
        <v>5.5903614457831329E-3</v>
      </c>
      <c r="T180" s="7">
        <v>5.0655021834061127E-2</v>
      </c>
      <c r="U180" t="s">
        <v>73</v>
      </c>
    </row>
    <row r="181" spans="1:21" ht="15.75" customHeight="1" x14ac:dyDescent="0.25">
      <c r="A181" t="s">
        <v>23</v>
      </c>
      <c r="B181" t="s">
        <v>57</v>
      </c>
      <c r="C181" t="s">
        <v>15</v>
      </c>
      <c r="D181" t="s">
        <v>67</v>
      </c>
      <c r="E181" t="s">
        <v>20</v>
      </c>
      <c r="F181" t="s">
        <v>40</v>
      </c>
      <c r="G181" t="s">
        <v>34</v>
      </c>
      <c r="H181" s="1">
        <v>42.08</v>
      </c>
      <c r="I181" s="2">
        <v>143711</v>
      </c>
      <c r="J181" s="2">
        <v>70528</v>
      </c>
      <c r="K181" s="2">
        <v>404</v>
      </c>
      <c r="L181" s="2">
        <v>261</v>
      </c>
      <c r="M181" s="2">
        <v>0</v>
      </c>
      <c r="N181" s="2">
        <v>0</v>
      </c>
      <c r="O181" s="41">
        <v>3.7006600000000001E-3</v>
      </c>
      <c r="P181" s="6">
        <f t="shared" si="2"/>
        <v>0</v>
      </c>
      <c r="Q181" s="6">
        <v>0</v>
      </c>
      <c r="R181" s="32">
        <v>0.29280987537488429</v>
      </c>
      <c r="S181" s="7">
        <v>2.8111974727056386E-3</v>
      </c>
      <c r="T181" s="7">
        <v>5.7282214156079859E-3</v>
      </c>
      <c r="U181" t="s">
        <v>73</v>
      </c>
    </row>
    <row r="182" spans="1:21" ht="15.75" customHeight="1" x14ac:dyDescent="0.25">
      <c r="A182" t="s">
        <v>23</v>
      </c>
      <c r="B182" t="s">
        <v>57</v>
      </c>
      <c r="C182" t="s">
        <v>38</v>
      </c>
      <c r="D182" t="s">
        <v>68</v>
      </c>
      <c r="E182" t="s">
        <v>20</v>
      </c>
      <c r="F182" t="s">
        <v>17</v>
      </c>
      <c r="G182" t="s">
        <v>34</v>
      </c>
      <c r="H182" s="1">
        <v>41.73</v>
      </c>
      <c r="I182" s="2">
        <v>24096</v>
      </c>
      <c r="J182" s="2">
        <v>3998</v>
      </c>
      <c r="K182" s="2">
        <v>119</v>
      </c>
      <c r="L182" s="2">
        <v>2213</v>
      </c>
      <c r="M182" s="2">
        <v>2157</v>
      </c>
      <c r="N182" s="2">
        <v>63</v>
      </c>
      <c r="O182" s="41">
        <v>0.55352676000000001</v>
      </c>
      <c r="P182" s="6">
        <f t="shared" si="2"/>
        <v>8.9516932270916338E-2</v>
      </c>
      <c r="Q182" s="6">
        <v>8.9516932270916338E-2</v>
      </c>
      <c r="R182" s="32">
        <v>1.7318227091633467</v>
      </c>
      <c r="S182" s="7">
        <v>4.9385790172642762E-3</v>
      </c>
      <c r="T182" s="7">
        <v>2.9764882441220612E-2</v>
      </c>
      <c r="U182" t="s">
        <v>73</v>
      </c>
    </row>
    <row r="183" spans="1:21" ht="15.75" customHeight="1" x14ac:dyDescent="0.25">
      <c r="A183" t="s">
        <v>23</v>
      </c>
      <c r="B183" t="s">
        <v>57</v>
      </c>
      <c r="C183" t="s">
        <v>38</v>
      </c>
      <c r="D183" t="s">
        <v>68</v>
      </c>
      <c r="E183" t="s">
        <v>20</v>
      </c>
      <c r="F183" t="s">
        <v>17</v>
      </c>
      <c r="G183" t="s">
        <v>34</v>
      </c>
      <c r="H183" s="1">
        <v>40.67</v>
      </c>
      <c r="I183" s="2">
        <v>24375</v>
      </c>
      <c r="J183" s="2">
        <v>3528</v>
      </c>
      <c r="K183" s="2">
        <v>111</v>
      </c>
      <c r="L183" s="2">
        <v>2077</v>
      </c>
      <c r="M183" s="2">
        <v>2011</v>
      </c>
      <c r="N183" s="2">
        <v>69</v>
      </c>
      <c r="O183" s="41">
        <v>0.58871881999999998</v>
      </c>
      <c r="P183" s="6">
        <f t="shared" si="2"/>
        <v>8.2502564102564097E-2</v>
      </c>
      <c r="Q183" s="6">
        <v>8.2502564102564097E-2</v>
      </c>
      <c r="R183" s="32">
        <v>1.6685128205128206</v>
      </c>
      <c r="S183" s="7">
        <v>4.553846153846154E-3</v>
      </c>
      <c r="T183" s="7">
        <v>3.1462585034013613E-2</v>
      </c>
      <c r="U183" t="s">
        <v>73</v>
      </c>
    </row>
    <row r="184" spans="1:21" ht="15.75" customHeight="1" x14ac:dyDescent="0.25">
      <c r="A184" t="s">
        <v>23</v>
      </c>
      <c r="B184" t="s">
        <v>57</v>
      </c>
      <c r="C184" t="s">
        <v>15</v>
      </c>
      <c r="D184" t="s">
        <v>67</v>
      </c>
      <c r="E184" t="s">
        <v>20</v>
      </c>
      <c r="F184" t="s">
        <v>17</v>
      </c>
      <c r="G184" t="s">
        <v>33</v>
      </c>
      <c r="H184" s="1">
        <v>37.83</v>
      </c>
      <c r="I184" s="2">
        <v>132892</v>
      </c>
      <c r="J184" s="2">
        <v>74140</v>
      </c>
      <c r="K184" s="2">
        <v>496</v>
      </c>
      <c r="L184" s="2">
        <v>6799</v>
      </c>
      <c r="M184" s="2">
        <v>6726</v>
      </c>
      <c r="N184" s="2">
        <v>319</v>
      </c>
      <c r="O184" s="41">
        <v>9.1704880000000003E-2</v>
      </c>
      <c r="P184" s="6">
        <f t="shared" si="2"/>
        <v>5.0612527465912167E-2</v>
      </c>
      <c r="Q184" s="6">
        <v>5.0612527465912167E-2</v>
      </c>
      <c r="R184" s="32">
        <v>0.28466724859284226</v>
      </c>
      <c r="S184" s="7">
        <v>3.7323540920446677E-3</v>
      </c>
      <c r="T184" s="7">
        <v>6.6900458591853248E-3</v>
      </c>
      <c r="U184" t="s">
        <v>73</v>
      </c>
    </row>
    <row r="185" spans="1:21" ht="15.75" customHeight="1" x14ac:dyDescent="0.25">
      <c r="A185" t="s">
        <v>23</v>
      </c>
      <c r="B185" t="s">
        <v>57</v>
      </c>
      <c r="C185" t="s">
        <v>15</v>
      </c>
      <c r="D185" t="s">
        <v>67</v>
      </c>
      <c r="E185" t="s">
        <v>20</v>
      </c>
      <c r="F185" t="s">
        <v>17</v>
      </c>
      <c r="G185" t="s">
        <v>33</v>
      </c>
      <c r="H185" s="1">
        <v>36.36</v>
      </c>
      <c r="I185" s="2">
        <v>127873</v>
      </c>
      <c r="J185" s="2">
        <v>62111</v>
      </c>
      <c r="K185" s="2">
        <v>386</v>
      </c>
      <c r="L185" s="2">
        <v>4244</v>
      </c>
      <c r="M185" s="2">
        <v>4183</v>
      </c>
      <c r="N185" s="2">
        <v>141</v>
      </c>
      <c r="O185" s="41">
        <v>6.8329280000000006E-2</v>
      </c>
      <c r="P185" s="6">
        <f t="shared" si="2"/>
        <v>3.2712144080454829E-2</v>
      </c>
      <c r="Q185" s="6">
        <v>3.2712144080454829E-2</v>
      </c>
      <c r="R185" s="32">
        <v>0.28434462318081222</v>
      </c>
      <c r="S185" s="7">
        <v>3.0186200370680284E-3</v>
      </c>
      <c r="T185" s="7">
        <v>6.214680169374185E-3</v>
      </c>
      <c r="U185" t="s">
        <v>73</v>
      </c>
    </row>
    <row r="186" spans="1:21" ht="15.75" customHeight="1" x14ac:dyDescent="0.25">
      <c r="A186" t="s">
        <v>23</v>
      </c>
      <c r="B186" t="s">
        <v>57</v>
      </c>
      <c r="C186" t="s">
        <v>38</v>
      </c>
      <c r="D186" t="s">
        <v>68</v>
      </c>
      <c r="E186" t="s">
        <v>20</v>
      </c>
      <c r="F186" t="s">
        <v>40</v>
      </c>
      <c r="G186" t="s">
        <v>34</v>
      </c>
      <c r="H186" s="1">
        <v>36.270000000000003</v>
      </c>
      <c r="I186" s="2">
        <v>23252</v>
      </c>
      <c r="J186" s="2">
        <v>4603</v>
      </c>
      <c r="K186" s="2">
        <v>98</v>
      </c>
      <c r="L186" s="2">
        <v>51</v>
      </c>
      <c r="M186" s="2">
        <v>0</v>
      </c>
      <c r="N186" s="2">
        <v>0</v>
      </c>
      <c r="O186" s="41">
        <v>1.1079729999999999E-2</v>
      </c>
      <c r="P186" s="6">
        <f t="shared" si="2"/>
        <v>0</v>
      </c>
      <c r="Q186" s="6">
        <v>0</v>
      </c>
      <c r="R186" s="32">
        <v>1.5598658179941514</v>
      </c>
      <c r="S186" s="7">
        <v>4.2146912093583349E-3</v>
      </c>
      <c r="T186" s="7">
        <v>2.1290462741690198E-2</v>
      </c>
      <c r="U186" t="s">
        <v>73</v>
      </c>
    </row>
    <row r="187" spans="1:21" ht="15.75" customHeight="1" x14ac:dyDescent="0.25">
      <c r="A187" t="s">
        <v>23</v>
      </c>
      <c r="B187" t="s">
        <v>57</v>
      </c>
      <c r="C187" t="s">
        <v>38</v>
      </c>
      <c r="D187" t="s">
        <v>68</v>
      </c>
      <c r="E187" t="s">
        <v>16</v>
      </c>
      <c r="F187" t="s">
        <v>17</v>
      </c>
      <c r="G187" t="s">
        <v>33</v>
      </c>
      <c r="H187" s="1">
        <v>32.340000000000003</v>
      </c>
      <c r="I187" s="2">
        <v>20295</v>
      </c>
      <c r="J187" s="2">
        <v>3369</v>
      </c>
      <c r="K187" s="2">
        <v>113</v>
      </c>
      <c r="L187" s="2">
        <v>2221</v>
      </c>
      <c r="M187" s="2">
        <v>2192</v>
      </c>
      <c r="N187" s="2">
        <v>80</v>
      </c>
      <c r="O187" s="41">
        <v>0.65924607000000002</v>
      </c>
      <c r="P187" s="6">
        <f t="shared" si="2"/>
        <v>0.10800689825080069</v>
      </c>
      <c r="Q187" s="6">
        <v>0.10800689825080069</v>
      </c>
      <c r="R187" s="32">
        <v>1.5934959349593498</v>
      </c>
      <c r="S187" s="7">
        <v>5.5678738605567874E-3</v>
      </c>
      <c r="T187" s="7">
        <v>3.3541110121697831E-2</v>
      </c>
      <c r="U187" t="s">
        <v>73</v>
      </c>
    </row>
    <row r="188" spans="1:21" ht="15.75" customHeight="1" x14ac:dyDescent="0.25">
      <c r="A188" t="s">
        <v>23</v>
      </c>
      <c r="B188" t="s">
        <v>57</v>
      </c>
      <c r="C188" t="s">
        <v>38</v>
      </c>
      <c r="D188" t="s">
        <v>68</v>
      </c>
      <c r="E188" t="s">
        <v>16</v>
      </c>
      <c r="F188" t="s">
        <v>17</v>
      </c>
      <c r="G188" t="s">
        <v>34</v>
      </c>
      <c r="H188" s="1">
        <v>29.59</v>
      </c>
      <c r="I188" s="2">
        <v>18515</v>
      </c>
      <c r="J188" s="2">
        <v>2723</v>
      </c>
      <c r="K188" s="2">
        <v>104</v>
      </c>
      <c r="L188" s="2">
        <v>1678</v>
      </c>
      <c r="M188" s="2">
        <v>1668</v>
      </c>
      <c r="N188" s="2">
        <v>37</v>
      </c>
      <c r="O188" s="41">
        <v>0.61623209999999995</v>
      </c>
      <c r="P188" s="6">
        <f t="shared" si="2"/>
        <v>9.008911693221712E-2</v>
      </c>
      <c r="Q188" s="6">
        <v>9.008911693221712E-2</v>
      </c>
      <c r="R188" s="32">
        <v>1.5981636510937076</v>
      </c>
      <c r="S188" s="7">
        <v>5.6170672427761272E-3</v>
      </c>
      <c r="T188" s="7">
        <v>3.8193169298567753E-2</v>
      </c>
      <c r="U188" t="s">
        <v>73</v>
      </c>
    </row>
    <row r="189" spans="1:21" ht="15.75" customHeight="1" x14ac:dyDescent="0.25">
      <c r="A189" t="s">
        <v>23</v>
      </c>
      <c r="B189" t="s">
        <v>57</v>
      </c>
      <c r="C189" t="s">
        <v>38</v>
      </c>
      <c r="D189" t="s">
        <v>68</v>
      </c>
      <c r="E189" t="s">
        <v>16</v>
      </c>
      <c r="F189" t="s">
        <v>40</v>
      </c>
      <c r="G189" t="s">
        <v>34</v>
      </c>
      <c r="H189" s="1">
        <v>29.04</v>
      </c>
      <c r="I189" s="2">
        <v>18765</v>
      </c>
      <c r="J189" s="2">
        <v>2543</v>
      </c>
      <c r="K189" s="2">
        <v>95</v>
      </c>
      <c r="L189" s="2">
        <v>59</v>
      </c>
      <c r="M189" s="2">
        <v>0</v>
      </c>
      <c r="N189" s="2">
        <v>0</v>
      </c>
      <c r="O189" s="41">
        <v>2.320094E-2</v>
      </c>
      <c r="P189" s="6">
        <f t="shared" si="2"/>
        <v>0</v>
      </c>
      <c r="Q189" s="6">
        <v>0</v>
      </c>
      <c r="R189" s="32">
        <v>1.5475619504396483</v>
      </c>
      <c r="S189" s="7">
        <v>5.0626165734079407E-3</v>
      </c>
      <c r="T189" s="7">
        <v>3.7357451828548958E-2</v>
      </c>
      <c r="U189" t="s">
        <v>73</v>
      </c>
    </row>
    <row r="190" spans="1:21" ht="15.75" customHeight="1" x14ac:dyDescent="0.25">
      <c r="A190" t="s">
        <v>23</v>
      </c>
      <c r="B190" t="s">
        <v>57</v>
      </c>
      <c r="C190" t="s">
        <v>15</v>
      </c>
      <c r="D190" t="s">
        <v>67</v>
      </c>
      <c r="E190" t="s">
        <v>16</v>
      </c>
      <c r="F190" t="s">
        <v>17</v>
      </c>
      <c r="G190" t="s">
        <v>33</v>
      </c>
      <c r="H190" s="1">
        <v>26.54</v>
      </c>
      <c r="I190" s="2">
        <v>95231</v>
      </c>
      <c r="J190" s="2">
        <v>51725</v>
      </c>
      <c r="K190" s="2">
        <v>274</v>
      </c>
      <c r="L190" s="2">
        <v>3914</v>
      </c>
      <c r="M190" s="2">
        <v>3854</v>
      </c>
      <c r="N190" s="2">
        <v>97</v>
      </c>
      <c r="O190" s="41">
        <v>7.5669410000000006E-2</v>
      </c>
      <c r="P190" s="6">
        <f t="shared" si="2"/>
        <v>4.0470015016118702E-2</v>
      </c>
      <c r="Q190" s="6">
        <v>4.0470015016118702E-2</v>
      </c>
      <c r="R190" s="32">
        <v>0.27869076246180341</v>
      </c>
      <c r="S190" s="7">
        <v>2.877214352469259E-3</v>
      </c>
      <c r="T190" s="7">
        <v>5.2972450459159012E-3</v>
      </c>
      <c r="U190" t="s">
        <v>73</v>
      </c>
    </row>
    <row r="191" spans="1:21" ht="15.75" customHeight="1" x14ac:dyDescent="0.25">
      <c r="A191" t="s">
        <v>23</v>
      </c>
      <c r="B191" t="s">
        <v>57</v>
      </c>
      <c r="C191" t="s">
        <v>15</v>
      </c>
      <c r="D191" t="s">
        <v>67</v>
      </c>
      <c r="E191" t="s">
        <v>20</v>
      </c>
      <c r="F191" t="s">
        <v>40</v>
      </c>
      <c r="G191" t="s">
        <v>34</v>
      </c>
      <c r="H191" s="1">
        <v>24.48</v>
      </c>
      <c r="I191" s="2">
        <v>83528</v>
      </c>
      <c r="J191" s="2">
        <v>50080</v>
      </c>
      <c r="K191" s="2">
        <v>198</v>
      </c>
      <c r="L191" s="2">
        <v>130</v>
      </c>
      <c r="M191" s="2">
        <v>0</v>
      </c>
      <c r="N191" s="2">
        <v>0</v>
      </c>
      <c r="O191" s="41">
        <v>2.5958499999999998E-3</v>
      </c>
      <c r="P191" s="6">
        <f t="shared" si="2"/>
        <v>0</v>
      </c>
      <c r="Q191" s="6">
        <v>0</v>
      </c>
      <c r="R191" s="32">
        <v>0.29307537592184657</v>
      </c>
      <c r="S191" s="7">
        <v>2.3704625993678768E-3</v>
      </c>
      <c r="T191" s="7">
        <v>3.9536741214057508E-3</v>
      </c>
      <c r="U191" t="s">
        <v>73</v>
      </c>
    </row>
    <row r="192" spans="1:21" ht="15.75" customHeight="1" x14ac:dyDescent="0.25">
      <c r="A192" t="s">
        <v>23</v>
      </c>
      <c r="B192" t="s">
        <v>57</v>
      </c>
      <c r="C192" t="s">
        <v>15</v>
      </c>
      <c r="D192" t="s">
        <v>67</v>
      </c>
      <c r="E192" t="s">
        <v>16</v>
      </c>
      <c r="F192" t="s">
        <v>41</v>
      </c>
      <c r="G192" t="s">
        <v>34</v>
      </c>
      <c r="H192" s="1">
        <v>23.57</v>
      </c>
      <c r="I192" s="2">
        <v>72350</v>
      </c>
      <c r="J192" s="2">
        <v>48112</v>
      </c>
      <c r="K192" s="2">
        <v>150</v>
      </c>
      <c r="L192" s="2">
        <v>2638</v>
      </c>
      <c r="M192" s="2">
        <v>2556</v>
      </c>
      <c r="N192" s="2">
        <v>2657</v>
      </c>
      <c r="O192" s="41">
        <v>5.4830400000000001E-2</v>
      </c>
      <c r="P192" s="6">
        <f t="shared" si="2"/>
        <v>3.5328265376641327E-2</v>
      </c>
      <c r="Q192" s="6">
        <v>3.5328265376641327E-2</v>
      </c>
      <c r="R192" s="32">
        <v>0.32577747062888734</v>
      </c>
      <c r="S192" s="7">
        <v>2.0732550103662751E-3</v>
      </c>
      <c r="T192" s="7">
        <v>3.1177253076155641E-3</v>
      </c>
      <c r="U192" t="s">
        <v>73</v>
      </c>
    </row>
    <row r="193" spans="1:21" ht="15.75" customHeight="1" x14ac:dyDescent="0.25">
      <c r="A193" t="s">
        <v>23</v>
      </c>
      <c r="B193" t="s">
        <v>57</v>
      </c>
      <c r="C193" t="s">
        <v>15</v>
      </c>
      <c r="D193" t="s">
        <v>67</v>
      </c>
      <c r="E193" t="s">
        <v>20</v>
      </c>
      <c r="F193" t="s">
        <v>17</v>
      </c>
      <c r="G193" t="s">
        <v>34</v>
      </c>
      <c r="H193" s="1">
        <v>22.21</v>
      </c>
      <c r="I193" s="2">
        <v>80209</v>
      </c>
      <c r="J193" s="2">
        <v>34991</v>
      </c>
      <c r="K193" s="2">
        <v>164</v>
      </c>
      <c r="L193" s="2">
        <v>1332</v>
      </c>
      <c r="M193" s="2">
        <v>1297</v>
      </c>
      <c r="N193" s="2">
        <v>1129</v>
      </c>
      <c r="O193" s="41">
        <v>3.8066929999999999E-2</v>
      </c>
      <c r="P193" s="6">
        <f t="shared" si="2"/>
        <v>1.61702552082684E-2</v>
      </c>
      <c r="Q193" s="6">
        <v>1.61702552082684E-2</v>
      </c>
      <c r="R193" s="32">
        <v>0.27690159458414892</v>
      </c>
      <c r="S193" s="7">
        <v>2.0446583301125809E-3</v>
      </c>
      <c r="T193" s="7">
        <v>4.6869194935840646E-3</v>
      </c>
      <c r="U193" t="s">
        <v>73</v>
      </c>
    </row>
    <row r="194" spans="1:21" ht="15.75" customHeight="1" x14ac:dyDescent="0.25">
      <c r="A194" t="s">
        <v>23</v>
      </c>
      <c r="B194" t="s">
        <v>57</v>
      </c>
      <c r="C194" t="s">
        <v>38</v>
      </c>
      <c r="D194" t="s">
        <v>68</v>
      </c>
      <c r="E194" t="s">
        <v>20</v>
      </c>
      <c r="F194" t="s">
        <v>17</v>
      </c>
      <c r="G194" t="s">
        <v>34</v>
      </c>
      <c r="H194" s="1">
        <v>21.19</v>
      </c>
      <c r="I194" s="2">
        <v>4992</v>
      </c>
      <c r="J194" s="2">
        <v>1922</v>
      </c>
      <c r="K194" s="2">
        <v>138</v>
      </c>
      <c r="L194" s="2">
        <v>3624</v>
      </c>
      <c r="M194" s="2">
        <v>3489</v>
      </c>
      <c r="N194" s="2">
        <v>17</v>
      </c>
      <c r="O194" s="41">
        <v>1.8855359</v>
      </c>
      <c r="P194" s="6">
        <f t="shared" si="2"/>
        <v>0.69891826923076927</v>
      </c>
      <c r="Q194" s="6">
        <v>0.69891826923076927</v>
      </c>
      <c r="R194" s="32">
        <v>4.244791666666667</v>
      </c>
      <c r="S194" s="7">
        <v>2.7644230769230768E-2</v>
      </c>
      <c r="T194" s="7">
        <v>7.1800208116545264E-2</v>
      </c>
      <c r="U194" t="s">
        <v>78</v>
      </c>
    </row>
    <row r="195" spans="1:21" ht="15.75" customHeight="1" x14ac:dyDescent="0.25">
      <c r="A195" t="s">
        <v>23</v>
      </c>
      <c r="B195" t="s">
        <v>57</v>
      </c>
      <c r="C195" t="s">
        <v>38</v>
      </c>
      <c r="D195" t="s">
        <v>68</v>
      </c>
      <c r="E195" t="s">
        <v>16</v>
      </c>
      <c r="F195" t="s">
        <v>17</v>
      </c>
      <c r="G195" t="s">
        <v>34</v>
      </c>
      <c r="H195" s="1">
        <v>20.82</v>
      </c>
      <c r="I195" s="2">
        <v>12106</v>
      </c>
      <c r="J195" s="2">
        <v>3172</v>
      </c>
      <c r="K195" s="2">
        <v>65</v>
      </c>
      <c r="L195" s="2">
        <v>883</v>
      </c>
      <c r="M195" s="2">
        <v>862</v>
      </c>
      <c r="N195" s="2">
        <v>22</v>
      </c>
      <c r="O195" s="41">
        <v>0.27837327000000001</v>
      </c>
      <c r="P195" s="6">
        <f t="shared" ref="P195:P258" si="3">M195/I195</f>
        <v>7.1204361473649433E-2</v>
      </c>
      <c r="Q195" s="6">
        <v>7.1204361473649433E-2</v>
      </c>
      <c r="R195" s="32">
        <v>1.7198083594911615</v>
      </c>
      <c r="S195" s="7">
        <v>5.3692383941847015E-3</v>
      </c>
      <c r="T195" s="7">
        <v>2.049180327868852E-2</v>
      </c>
      <c r="U195" t="s">
        <v>73</v>
      </c>
    </row>
    <row r="196" spans="1:21" ht="15.75" customHeight="1" x14ac:dyDescent="0.25">
      <c r="A196" t="s">
        <v>23</v>
      </c>
      <c r="B196" t="s">
        <v>57</v>
      </c>
      <c r="C196" t="s">
        <v>38</v>
      </c>
      <c r="D196" t="s">
        <v>68</v>
      </c>
      <c r="E196" t="s">
        <v>16</v>
      </c>
      <c r="F196" t="s">
        <v>17</v>
      </c>
      <c r="G196" t="s">
        <v>34</v>
      </c>
      <c r="H196" s="1">
        <v>18.93</v>
      </c>
      <c r="I196" s="2">
        <v>11918</v>
      </c>
      <c r="J196" s="2">
        <v>3332</v>
      </c>
      <c r="K196" s="2">
        <v>55</v>
      </c>
      <c r="L196" s="2">
        <v>627</v>
      </c>
      <c r="M196" s="2">
        <v>614</v>
      </c>
      <c r="N196" s="2">
        <v>572</v>
      </c>
      <c r="O196" s="41">
        <v>0.18817527000000001</v>
      </c>
      <c r="P196" s="6">
        <f t="shared" si="3"/>
        <v>5.151871119315321E-2</v>
      </c>
      <c r="Q196" s="6">
        <v>5.151871119315321E-2</v>
      </c>
      <c r="R196" s="32">
        <v>1.5883537506293002</v>
      </c>
      <c r="S196" s="7">
        <v>4.6148682664876655E-3</v>
      </c>
      <c r="T196" s="7">
        <v>1.6506602641056418E-2</v>
      </c>
      <c r="U196" t="s">
        <v>73</v>
      </c>
    </row>
    <row r="197" spans="1:21" ht="15.75" customHeight="1" x14ac:dyDescent="0.25">
      <c r="A197" t="s">
        <v>23</v>
      </c>
      <c r="B197" t="s">
        <v>57</v>
      </c>
      <c r="C197" t="s">
        <v>15</v>
      </c>
      <c r="D197" t="s">
        <v>67</v>
      </c>
      <c r="E197" t="s">
        <v>20</v>
      </c>
      <c r="F197" t="s">
        <v>17</v>
      </c>
      <c r="G197" t="s">
        <v>18</v>
      </c>
      <c r="H197" s="1">
        <v>18.02</v>
      </c>
      <c r="I197" s="2">
        <v>62862</v>
      </c>
      <c r="J197" s="2">
        <v>48929</v>
      </c>
      <c r="K197" s="2">
        <v>26</v>
      </c>
      <c r="L197" s="2">
        <v>3375</v>
      </c>
      <c r="M197" s="2">
        <v>3348</v>
      </c>
      <c r="N197" s="2">
        <v>48</v>
      </c>
      <c r="O197" s="41">
        <v>6.8977499999999997E-2</v>
      </c>
      <c r="P197" s="6">
        <f t="shared" si="3"/>
        <v>5.3259520855206646E-2</v>
      </c>
      <c r="Q197" s="6">
        <v>5.3259520855206646E-2</v>
      </c>
      <c r="R197" s="32">
        <v>0.28665966720753394</v>
      </c>
      <c r="S197" s="7">
        <v>4.1360440329610894E-4</v>
      </c>
      <c r="T197" s="7">
        <v>5.3138220687118072E-4</v>
      </c>
      <c r="U197" t="s">
        <v>73</v>
      </c>
    </row>
    <row r="198" spans="1:21" ht="15.75" customHeight="1" x14ac:dyDescent="0.25">
      <c r="A198" t="s">
        <v>23</v>
      </c>
      <c r="B198" t="s">
        <v>57</v>
      </c>
      <c r="C198" t="s">
        <v>38</v>
      </c>
      <c r="D198" t="s">
        <v>68</v>
      </c>
      <c r="E198" t="s">
        <v>16</v>
      </c>
      <c r="F198" t="s">
        <v>40</v>
      </c>
      <c r="G198" t="s">
        <v>34</v>
      </c>
      <c r="H198" s="1">
        <v>17.29</v>
      </c>
      <c r="I198" s="2">
        <v>11352</v>
      </c>
      <c r="J198" s="2">
        <v>2919</v>
      </c>
      <c r="K198" s="2">
        <v>63</v>
      </c>
      <c r="L198" s="2">
        <v>40</v>
      </c>
      <c r="M198" s="2">
        <v>0</v>
      </c>
      <c r="N198" s="2">
        <v>0</v>
      </c>
      <c r="O198" s="41">
        <v>1.370332E-2</v>
      </c>
      <c r="P198" s="6">
        <f t="shared" si="3"/>
        <v>0</v>
      </c>
      <c r="Q198" s="6">
        <v>0</v>
      </c>
      <c r="R198" s="32">
        <v>1.5230796335447498</v>
      </c>
      <c r="S198" s="7">
        <v>5.549682875264271E-3</v>
      </c>
      <c r="T198" s="7">
        <v>2.1582733812949641E-2</v>
      </c>
      <c r="U198" t="s">
        <v>73</v>
      </c>
    </row>
    <row r="199" spans="1:21" ht="15.75" customHeight="1" x14ac:dyDescent="0.25">
      <c r="A199" t="s">
        <v>23</v>
      </c>
      <c r="B199" t="s">
        <v>57</v>
      </c>
      <c r="C199" t="s">
        <v>38</v>
      </c>
      <c r="D199" t="s">
        <v>68</v>
      </c>
      <c r="E199" t="s">
        <v>20</v>
      </c>
      <c r="F199" t="s">
        <v>17</v>
      </c>
      <c r="G199" t="s">
        <v>33</v>
      </c>
      <c r="H199" s="1">
        <v>15.92</v>
      </c>
      <c r="I199" s="2">
        <v>6410</v>
      </c>
      <c r="J199" s="2">
        <v>1788</v>
      </c>
      <c r="K199" s="2">
        <v>53</v>
      </c>
      <c r="L199" s="2">
        <v>1836</v>
      </c>
      <c r="M199" s="2">
        <v>1790</v>
      </c>
      <c r="N199" s="2">
        <v>18</v>
      </c>
      <c r="O199" s="41">
        <v>1.0268456399999999</v>
      </c>
      <c r="P199" s="6">
        <f t="shared" si="3"/>
        <v>0.27925117004680189</v>
      </c>
      <c r="Q199" s="6">
        <v>0.27925117004680189</v>
      </c>
      <c r="R199" s="32">
        <v>2.4836193447737909</v>
      </c>
      <c r="S199" s="7">
        <v>8.2683307332293288E-3</v>
      </c>
      <c r="T199" s="7">
        <v>2.9642058165548098E-2</v>
      </c>
      <c r="U199" t="s">
        <v>73</v>
      </c>
    </row>
    <row r="200" spans="1:21" ht="15.75" customHeight="1" x14ac:dyDescent="0.25">
      <c r="A200" t="s">
        <v>23</v>
      </c>
      <c r="B200" t="s">
        <v>57</v>
      </c>
      <c r="C200" t="s">
        <v>38</v>
      </c>
      <c r="D200" t="s">
        <v>68</v>
      </c>
      <c r="E200" t="s">
        <v>20</v>
      </c>
      <c r="F200" t="s">
        <v>40</v>
      </c>
      <c r="G200" t="s">
        <v>34</v>
      </c>
      <c r="H200" s="1">
        <v>15.76</v>
      </c>
      <c r="I200" s="2">
        <v>10926</v>
      </c>
      <c r="J200" s="2">
        <v>4157</v>
      </c>
      <c r="K200" s="2">
        <v>43</v>
      </c>
      <c r="L200" s="2">
        <v>20</v>
      </c>
      <c r="M200" s="2">
        <v>0</v>
      </c>
      <c r="N200" s="2">
        <v>0</v>
      </c>
      <c r="O200" s="41">
        <v>4.8111600000000001E-3</v>
      </c>
      <c r="P200" s="6">
        <f t="shared" si="3"/>
        <v>0</v>
      </c>
      <c r="Q200" s="6">
        <v>0</v>
      </c>
      <c r="R200" s="32">
        <v>1.4424308987735677</v>
      </c>
      <c r="S200" s="7">
        <v>3.9355665385319418E-3</v>
      </c>
      <c r="T200" s="7">
        <v>1.034399807553524E-2</v>
      </c>
      <c r="U200" t="s">
        <v>73</v>
      </c>
    </row>
    <row r="201" spans="1:21" ht="15.75" customHeight="1" x14ac:dyDescent="0.25">
      <c r="A201" t="s">
        <v>23</v>
      </c>
      <c r="B201" t="s">
        <v>57</v>
      </c>
      <c r="C201" t="s">
        <v>15</v>
      </c>
      <c r="D201" t="s">
        <v>67</v>
      </c>
      <c r="E201" t="s">
        <v>20</v>
      </c>
      <c r="F201" t="s">
        <v>41</v>
      </c>
      <c r="G201" t="s">
        <v>34</v>
      </c>
      <c r="H201" s="1">
        <v>15.25</v>
      </c>
      <c r="I201" s="2">
        <v>49199</v>
      </c>
      <c r="J201" s="2">
        <v>33904</v>
      </c>
      <c r="K201" s="2">
        <v>84</v>
      </c>
      <c r="L201" s="2">
        <v>1880</v>
      </c>
      <c r="M201" s="2">
        <v>1836</v>
      </c>
      <c r="N201" s="2">
        <v>1865</v>
      </c>
      <c r="O201" s="41">
        <v>5.5450680000000002E-2</v>
      </c>
      <c r="P201" s="6">
        <f t="shared" si="3"/>
        <v>3.7317831663245191E-2</v>
      </c>
      <c r="Q201" s="6">
        <v>3.7317831663245191E-2</v>
      </c>
      <c r="R201" s="32">
        <v>0.30996564970832741</v>
      </c>
      <c r="S201" s="7">
        <v>1.7073517754425903E-3</v>
      </c>
      <c r="T201" s="7">
        <v>2.477583765927324E-3</v>
      </c>
      <c r="U201" t="s">
        <v>73</v>
      </c>
    </row>
    <row r="202" spans="1:21" ht="15.75" customHeight="1" x14ac:dyDescent="0.25">
      <c r="A202" t="s">
        <v>23</v>
      </c>
      <c r="B202" t="s">
        <v>57</v>
      </c>
      <c r="C202" t="s">
        <v>38</v>
      </c>
      <c r="D202" t="s">
        <v>68</v>
      </c>
      <c r="E202" t="s">
        <v>16</v>
      </c>
      <c r="F202" t="s">
        <v>40</v>
      </c>
      <c r="G202" t="s">
        <v>34</v>
      </c>
      <c r="H202" s="1">
        <v>14.93</v>
      </c>
      <c r="I202" s="2">
        <v>9349</v>
      </c>
      <c r="J202" s="2">
        <v>2830</v>
      </c>
      <c r="K202" s="2">
        <v>36</v>
      </c>
      <c r="L202" s="2">
        <v>21</v>
      </c>
      <c r="M202" s="2">
        <v>0</v>
      </c>
      <c r="N202" s="2">
        <v>0</v>
      </c>
      <c r="O202" s="41">
        <v>7.4204900000000001E-3</v>
      </c>
      <c r="P202" s="6">
        <f t="shared" si="3"/>
        <v>0</v>
      </c>
      <c r="Q202" s="6">
        <v>0</v>
      </c>
      <c r="R202" s="32">
        <v>1.5969622419510108</v>
      </c>
      <c r="S202" s="7">
        <v>3.8506792170285593E-3</v>
      </c>
      <c r="T202" s="7">
        <v>1.27208480565371E-2</v>
      </c>
      <c r="U202" t="s">
        <v>73</v>
      </c>
    </row>
    <row r="203" spans="1:21" ht="15.75" customHeight="1" x14ac:dyDescent="0.25">
      <c r="A203" t="s">
        <v>23</v>
      </c>
      <c r="B203" t="s">
        <v>57</v>
      </c>
      <c r="C203" t="s">
        <v>38</v>
      </c>
      <c r="D203" t="s">
        <v>68</v>
      </c>
      <c r="E203" t="s">
        <v>20</v>
      </c>
      <c r="F203" t="s">
        <v>17</v>
      </c>
      <c r="G203" t="s">
        <v>33</v>
      </c>
      <c r="H203" s="1">
        <v>14.78</v>
      </c>
      <c r="I203" s="2">
        <v>9120</v>
      </c>
      <c r="J203" s="2">
        <v>1397</v>
      </c>
      <c r="K203" s="2">
        <v>39</v>
      </c>
      <c r="L203" s="2">
        <v>729</v>
      </c>
      <c r="M203" s="2">
        <v>717</v>
      </c>
      <c r="N203" s="2">
        <v>16</v>
      </c>
      <c r="O203" s="41">
        <v>0.52183250000000003</v>
      </c>
      <c r="P203" s="6">
        <f t="shared" si="3"/>
        <v>7.8618421052631574E-2</v>
      </c>
      <c r="Q203" s="6">
        <v>7.8618421052631574E-2</v>
      </c>
      <c r="R203" s="32">
        <v>1.6206140350877192</v>
      </c>
      <c r="S203" s="7">
        <v>4.2763157894736845E-3</v>
      </c>
      <c r="T203" s="7">
        <v>2.7916964924838941E-2</v>
      </c>
      <c r="U203" t="s">
        <v>73</v>
      </c>
    </row>
    <row r="204" spans="1:21" ht="15.75" customHeight="1" x14ac:dyDescent="0.25">
      <c r="A204" t="s">
        <v>23</v>
      </c>
      <c r="B204" t="s">
        <v>57</v>
      </c>
      <c r="C204" t="s">
        <v>38</v>
      </c>
      <c r="D204" t="s">
        <v>68</v>
      </c>
      <c r="E204" t="s">
        <v>20</v>
      </c>
      <c r="F204" t="s">
        <v>17</v>
      </c>
      <c r="G204" t="s">
        <v>33</v>
      </c>
      <c r="H204" s="1">
        <v>13.05</v>
      </c>
      <c r="I204" s="2">
        <v>7876</v>
      </c>
      <c r="J204" s="2">
        <v>1972</v>
      </c>
      <c r="K204" s="2">
        <v>42</v>
      </c>
      <c r="L204" s="2">
        <v>855</v>
      </c>
      <c r="M204" s="2">
        <v>837</v>
      </c>
      <c r="N204" s="2">
        <v>27</v>
      </c>
      <c r="O204" s="41">
        <v>0.43356998000000002</v>
      </c>
      <c r="P204" s="6">
        <f t="shared" si="3"/>
        <v>0.10627221940071102</v>
      </c>
      <c r="Q204" s="6">
        <v>0.10627221940071102</v>
      </c>
      <c r="R204" s="32">
        <v>1.6569324530218386</v>
      </c>
      <c r="S204" s="7">
        <v>5.3326561706449971E-3</v>
      </c>
      <c r="T204" s="7">
        <v>2.1298174442190669E-2</v>
      </c>
      <c r="U204" t="s">
        <v>73</v>
      </c>
    </row>
    <row r="205" spans="1:21" ht="15.75" customHeight="1" x14ac:dyDescent="0.25">
      <c r="A205" t="s">
        <v>23</v>
      </c>
      <c r="B205" t="s">
        <v>57</v>
      </c>
      <c r="C205" t="s">
        <v>38</v>
      </c>
      <c r="D205" t="s">
        <v>68</v>
      </c>
      <c r="E205" t="s">
        <v>20</v>
      </c>
      <c r="F205" t="s">
        <v>17</v>
      </c>
      <c r="G205" t="s">
        <v>18</v>
      </c>
      <c r="H205" s="1">
        <v>11.41</v>
      </c>
      <c r="I205" s="2">
        <v>6416</v>
      </c>
      <c r="J205" s="2">
        <v>2238</v>
      </c>
      <c r="K205" s="2">
        <v>3</v>
      </c>
      <c r="L205" s="2">
        <v>281</v>
      </c>
      <c r="M205" s="2">
        <v>275</v>
      </c>
      <c r="N205" s="2">
        <v>4</v>
      </c>
      <c r="O205" s="41">
        <v>0.12555853</v>
      </c>
      <c r="P205" s="6">
        <f t="shared" si="3"/>
        <v>4.2861596009975064E-2</v>
      </c>
      <c r="Q205" s="6">
        <v>4.2861596009975064E-2</v>
      </c>
      <c r="R205" s="32">
        <v>1.7783665835411473</v>
      </c>
      <c r="S205" s="7">
        <v>4.6758104738154612E-4</v>
      </c>
      <c r="T205" s="7">
        <v>1.340482573726542E-3</v>
      </c>
      <c r="U205" t="s">
        <v>73</v>
      </c>
    </row>
    <row r="206" spans="1:21" ht="15.75" customHeight="1" x14ac:dyDescent="0.25">
      <c r="A206" t="s">
        <v>23</v>
      </c>
      <c r="B206" t="s">
        <v>57</v>
      </c>
      <c r="C206" t="s">
        <v>38</v>
      </c>
      <c r="D206" t="s">
        <v>68</v>
      </c>
      <c r="E206" t="s">
        <v>20</v>
      </c>
      <c r="F206" t="s">
        <v>17</v>
      </c>
      <c r="G206" t="s">
        <v>18</v>
      </c>
      <c r="H206" s="1">
        <v>10.94</v>
      </c>
      <c r="I206" s="2">
        <v>6112</v>
      </c>
      <c r="J206" s="2">
        <v>2150</v>
      </c>
      <c r="K206" s="2">
        <v>2</v>
      </c>
      <c r="L206" s="2">
        <v>373</v>
      </c>
      <c r="M206" s="2">
        <v>370</v>
      </c>
      <c r="N206" s="2">
        <v>4</v>
      </c>
      <c r="O206" s="41">
        <v>0.17348837</v>
      </c>
      <c r="P206" s="6">
        <f t="shared" si="3"/>
        <v>6.0536649214659684E-2</v>
      </c>
      <c r="Q206" s="6">
        <v>6.0536649214659684E-2</v>
      </c>
      <c r="R206" s="32">
        <v>1.7899214659685863</v>
      </c>
      <c r="S206" s="7">
        <v>3.2722513089005238E-4</v>
      </c>
      <c r="T206" s="7">
        <v>9.3023255813953494E-4</v>
      </c>
      <c r="U206" t="s">
        <v>73</v>
      </c>
    </row>
    <row r="207" spans="1:21" ht="15.75" customHeight="1" x14ac:dyDescent="0.25">
      <c r="A207" t="s">
        <v>23</v>
      </c>
      <c r="B207" t="s">
        <v>57</v>
      </c>
      <c r="C207" t="s">
        <v>38</v>
      </c>
      <c r="D207" t="s">
        <v>68</v>
      </c>
      <c r="E207" t="s">
        <v>16</v>
      </c>
      <c r="F207" t="s">
        <v>17</v>
      </c>
      <c r="G207" t="s">
        <v>34</v>
      </c>
      <c r="H207" s="1">
        <v>10.09</v>
      </c>
      <c r="I207" s="2">
        <v>6364</v>
      </c>
      <c r="J207" s="2">
        <v>1884</v>
      </c>
      <c r="K207" s="2">
        <v>40</v>
      </c>
      <c r="L207" s="2">
        <v>443</v>
      </c>
      <c r="M207" s="2">
        <v>427</v>
      </c>
      <c r="N207" s="2">
        <v>26</v>
      </c>
      <c r="O207" s="41">
        <v>0.23513800000000001</v>
      </c>
      <c r="P207" s="6">
        <f t="shared" si="3"/>
        <v>6.7096165933375237E-2</v>
      </c>
      <c r="Q207" s="6">
        <v>6.7096165933375237E-2</v>
      </c>
      <c r="R207" s="32">
        <v>1.5854808296668763</v>
      </c>
      <c r="S207" s="7">
        <v>6.285355122564425E-3</v>
      </c>
      <c r="T207" s="7">
        <v>2.1231422505307851E-2</v>
      </c>
      <c r="U207" t="s">
        <v>73</v>
      </c>
    </row>
    <row r="208" spans="1:21" ht="15.75" customHeight="1" x14ac:dyDescent="0.25">
      <c r="A208" t="s">
        <v>23</v>
      </c>
      <c r="B208" t="s">
        <v>57</v>
      </c>
      <c r="C208" t="s">
        <v>38</v>
      </c>
      <c r="D208" t="s">
        <v>68</v>
      </c>
      <c r="E208" t="s">
        <v>20</v>
      </c>
      <c r="F208" t="s">
        <v>17</v>
      </c>
      <c r="G208" t="s">
        <v>33</v>
      </c>
      <c r="H208" s="1">
        <v>9.9</v>
      </c>
      <c r="I208" s="2">
        <v>4230</v>
      </c>
      <c r="J208" s="2">
        <v>837</v>
      </c>
      <c r="K208" s="2">
        <v>29</v>
      </c>
      <c r="L208" s="2">
        <v>1171</v>
      </c>
      <c r="M208" s="2">
        <v>1148</v>
      </c>
      <c r="N208" s="2">
        <v>6</v>
      </c>
      <c r="O208" s="41">
        <v>1.39904421</v>
      </c>
      <c r="P208" s="6">
        <f t="shared" si="3"/>
        <v>0.27139479905437353</v>
      </c>
      <c r="Q208" s="6">
        <v>0.27139479905437353</v>
      </c>
      <c r="R208" s="32">
        <v>2.3404255319148937</v>
      </c>
      <c r="S208" s="7">
        <v>6.8557919621749413E-3</v>
      </c>
      <c r="T208" s="7">
        <v>3.4647550776583033E-2</v>
      </c>
      <c r="U208" t="s">
        <v>73</v>
      </c>
    </row>
    <row r="209" spans="1:21" ht="15.75" customHeight="1" x14ac:dyDescent="0.25">
      <c r="A209" t="s">
        <v>23</v>
      </c>
      <c r="B209" t="s">
        <v>57</v>
      </c>
      <c r="C209" t="s">
        <v>15</v>
      </c>
      <c r="D209" t="s">
        <v>67</v>
      </c>
      <c r="E209" t="s">
        <v>20</v>
      </c>
      <c r="F209" t="s">
        <v>17</v>
      </c>
      <c r="G209" t="s">
        <v>34</v>
      </c>
      <c r="H209" s="1">
        <v>9.68</v>
      </c>
      <c r="I209" s="2">
        <v>12546</v>
      </c>
      <c r="J209" s="2">
        <v>10228</v>
      </c>
      <c r="K209" s="2">
        <v>189</v>
      </c>
      <c r="L209" s="2">
        <v>6079</v>
      </c>
      <c r="M209" s="2">
        <v>5894</v>
      </c>
      <c r="N209" s="2">
        <v>16</v>
      </c>
      <c r="O209" s="41">
        <v>0.59434885000000004</v>
      </c>
      <c r="P209" s="6">
        <f t="shared" si="3"/>
        <v>0.46979116849992031</v>
      </c>
      <c r="Q209" s="6">
        <v>0.46979116849992031</v>
      </c>
      <c r="R209" s="32">
        <v>0.77156065678303831</v>
      </c>
      <c r="S209" s="7">
        <v>1.5064562410329985E-2</v>
      </c>
      <c r="T209" s="7">
        <v>1.84786859601095E-2</v>
      </c>
      <c r="U209" t="s">
        <v>78</v>
      </c>
    </row>
    <row r="210" spans="1:21" ht="15.75" customHeight="1" x14ac:dyDescent="0.25">
      <c r="A210" t="s">
        <v>23</v>
      </c>
      <c r="B210" t="s">
        <v>57</v>
      </c>
      <c r="C210" t="s">
        <v>38</v>
      </c>
      <c r="D210" t="s">
        <v>68</v>
      </c>
      <c r="E210" t="s">
        <v>20</v>
      </c>
      <c r="F210" t="s">
        <v>17</v>
      </c>
      <c r="G210" t="s">
        <v>34</v>
      </c>
      <c r="H210" s="1">
        <v>9.61</v>
      </c>
      <c r="I210" s="2">
        <v>6223</v>
      </c>
      <c r="J210" s="2">
        <v>2004</v>
      </c>
      <c r="K210" s="2">
        <v>22</v>
      </c>
      <c r="L210" s="2">
        <v>324</v>
      </c>
      <c r="M210" s="2">
        <v>317</v>
      </c>
      <c r="N210" s="2">
        <v>279</v>
      </c>
      <c r="O210" s="41">
        <v>0.16167665000000001</v>
      </c>
      <c r="P210" s="6">
        <f t="shared" si="3"/>
        <v>5.0940061063795596E-2</v>
      </c>
      <c r="Q210" s="6">
        <v>5.0940061063795596E-2</v>
      </c>
      <c r="R210" s="32">
        <v>1.5442712518078097</v>
      </c>
      <c r="S210" s="7">
        <v>3.5352723766672025E-3</v>
      </c>
      <c r="T210" s="7">
        <v>1.0978043912175651E-2</v>
      </c>
      <c r="U210" t="s">
        <v>73</v>
      </c>
    </row>
    <row r="211" spans="1:21" ht="15.75" customHeight="1" x14ac:dyDescent="0.25">
      <c r="A211" t="s">
        <v>23</v>
      </c>
      <c r="B211" t="s">
        <v>57</v>
      </c>
      <c r="C211" t="s">
        <v>38</v>
      </c>
      <c r="D211" t="s">
        <v>68</v>
      </c>
      <c r="E211" t="s">
        <v>20</v>
      </c>
      <c r="F211" t="s">
        <v>41</v>
      </c>
      <c r="G211" t="s">
        <v>34</v>
      </c>
      <c r="H211" s="1">
        <v>8.7100000000000009</v>
      </c>
      <c r="I211" s="2">
        <v>4787</v>
      </c>
      <c r="J211" s="2">
        <v>1733</v>
      </c>
      <c r="K211" s="2">
        <v>8</v>
      </c>
      <c r="L211" s="2">
        <v>369</v>
      </c>
      <c r="M211" s="2">
        <v>363</v>
      </c>
      <c r="N211" s="2">
        <v>422</v>
      </c>
      <c r="O211" s="41">
        <v>0.21292556000000001</v>
      </c>
      <c r="P211" s="6">
        <f t="shared" si="3"/>
        <v>7.5830373929392098E-2</v>
      </c>
      <c r="Q211" s="6">
        <v>7.5830373929392098E-2</v>
      </c>
      <c r="R211" s="32">
        <v>1.8195111761019429</v>
      </c>
      <c r="S211" s="7">
        <v>1.6711928138709003E-3</v>
      </c>
      <c r="T211" s="7">
        <v>4.6162723600692438E-3</v>
      </c>
      <c r="U211" t="s">
        <v>73</v>
      </c>
    </row>
    <row r="212" spans="1:21" ht="15.75" customHeight="1" x14ac:dyDescent="0.25">
      <c r="A212" t="s">
        <v>23</v>
      </c>
      <c r="B212" t="s">
        <v>57</v>
      </c>
      <c r="C212" t="s">
        <v>15</v>
      </c>
      <c r="D212" t="s">
        <v>67</v>
      </c>
      <c r="E212" t="s">
        <v>20</v>
      </c>
      <c r="F212" t="s">
        <v>17</v>
      </c>
      <c r="G212" t="s">
        <v>18</v>
      </c>
      <c r="H212" s="1">
        <v>7.75</v>
      </c>
      <c r="I212" s="2">
        <v>27122</v>
      </c>
      <c r="J212" s="2">
        <v>23256</v>
      </c>
      <c r="K212" s="2">
        <v>8</v>
      </c>
      <c r="L212" s="2">
        <v>981</v>
      </c>
      <c r="M212" s="2">
        <v>973</v>
      </c>
      <c r="N212" s="2">
        <v>12</v>
      </c>
      <c r="O212" s="41">
        <v>4.2182659999999997E-2</v>
      </c>
      <c r="P212" s="6">
        <f t="shared" si="3"/>
        <v>3.5874935476734753E-2</v>
      </c>
      <c r="Q212" s="6">
        <v>3.5874935476734753E-2</v>
      </c>
      <c r="R212" s="32">
        <v>0.28574588894624292</v>
      </c>
      <c r="S212" s="7">
        <v>2.9496349826708945E-4</v>
      </c>
      <c r="T212" s="7">
        <v>3.4399724802201581E-4</v>
      </c>
      <c r="U212" t="s">
        <v>73</v>
      </c>
    </row>
    <row r="213" spans="1:21" ht="15.75" customHeight="1" x14ac:dyDescent="0.25">
      <c r="A213" t="s">
        <v>23</v>
      </c>
      <c r="B213" t="s">
        <v>57</v>
      </c>
      <c r="C213" t="s">
        <v>38</v>
      </c>
      <c r="D213" t="s">
        <v>68</v>
      </c>
      <c r="E213" t="s">
        <v>16</v>
      </c>
      <c r="F213" t="s">
        <v>17</v>
      </c>
      <c r="G213" t="s">
        <v>33</v>
      </c>
      <c r="H213" s="1">
        <v>7.57</v>
      </c>
      <c r="I213" s="2">
        <v>4606</v>
      </c>
      <c r="J213" s="2">
        <v>1873</v>
      </c>
      <c r="K213" s="2">
        <v>18</v>
      </c>
      <c r="L213" s="2">
        <v>530</v>
      </c>
      <c r="M213" s="2">
        <v>524</v>
      </c>
      <c r="N213" s="2">
        <v>27</v>
      </c>
      <c r="O213" s="41">
        <v>0.28296850000000001</v>
      </c>
      <c r="P213" s="6">
        <f t="shared" si="3"/>
        <v>0.11376465479808945</v>
      </c>
      <c r="Q213" s="6">
        <v>0.11376465479808945</v>
      </c>
      <c r="R213" s="32">
        <v>1.643508467216674</v>
      </c>
      <c r="S213" s="7">
        <v>3.9079461571862786E-3</v>
      </c>
      <c r="T213" s="7">
        <v>9.6102509343299527E-3</v>
      </c>
      <c r="U213" t="s">
        <v>73</v>
      </c>
    </row>
    <row r="214" spans="1:21" ht="15.75" customHeight="1" x14ac:dyDescent="0.25">
      <c r="A214" t="s">
        <v>23</v>
      </c>
      <c r="B214" t="s">
        <v>57</v>
      </c>
      <c r="C214" t="s">
        <v>15</v>
      </c>
      <c r="D214" t="s">
        <v>67</v>
      </c>
      <c r="E214" t="s">
        <v>16</v>
      </c>
      <c r="F214" t="s">
        <v>17</v>
      </c>
      <c r="G214" t="s">
        <v>18</v>
      </c>
      <c r="H214" s="1">
        <v>7.42</v>
      </c>
      <c r="I214" s="2">
        <v>26209</v>
      </c>
      <c r="J214" s="2">
        <v>23827</v>
      </c>
      <c r="K214" s="2">
        <v>27</v>
      </c>
      <c r="L214" s="2">
        <v>2094</v>
      </c>
      <c r="M214" s="2">
        <v>2068</v>
      </c>
      <c r="N214" s="2">
        <v>60</v>
      </c>
      <c r="O214" s="41">
        <v>8.7883489999999995E-2</v>
      </c>
      <c r="P214" s="6">
        <f t="shared" si="3"/>
        <v>7.8904193216070811E-2</v>
      </c>
      <c r="Q214" s="6">
        <v>7.8904193216070811E-2</v>
      </c>
      <c r="R214" s="32">
        <v>0.28310885573657907</v>
      </c>
      <c r="S214" s="7">
        <v>1.0301804723568239E-3</v>
      </c>
      <c r="T214" s="7">
        <v>1.1331682545011961E-3</v>
      </c>
      <c r="U214" t="s">
        <v>73</v>
      </c>
    </row>
    <row r="215" spans="1:21" ht="15.75" customHeight="1" x14ac:dyDescent="0.25">
      <c r="A215" t="s">
        <v>23</v>
      </c>
      <c r="B215" t="s">
        <v>57</v>
      </c>
      <c r="C215" t="s">
        <v>15</v>
      </c>
      <c r="D215" t="s">
        <v>67</v>
      </c>
      <c r="E215" t="s">
        <v>16</v>
      </c>
      <c r="F215" t="s">
        <v>17</v>
      </c>
      <c r="G215" t="s">
        <v>34</v>
      </c>
      <c r="H215" s="1">
        <v>7.16</v>
      </c>
      <c r="I215" s="2">
        <v>9427</v>
      </c>
      <c r="J215" s="2">
        <v>8040</v>
      </c>
      <c r="K215" s="2">
        <v>144</v>
      </c>
      <c r="L215" s="2">
        <v>4703</v>
      </c>
      <c r="M215" s="2">
        <v>4566</v>
      </c>
      <c r="N215" s="2">
        <v>21</v>
      </c>
      <c r="O215" s="41">
        <v>0.58495025</v>
      </c>
      <c r="P215" s="6">
        <f t="shared" si="3"/>
        <v>0.48435345284820197</v>
      </c>
      <c r="Q215" s="6">
        <v>0.48435345284820197</v>
      </c>
      <c r="R215" s="32">
        <v>0.75952052614829746</v>
      </c>
      <c r="S215" s="7">
        <v>1.527527315158587E-2</v>
      </c>
      <c r="T215" s="7">
        <v>1.7910447761194031E-2</v>
      </c>
      <c r="U215" t="s">
        <v>78</v>
      </c>
    </row>
    <row r="216" spans="1:21" ht="15.75" customHeight="1" x14ac:dyDescent="0.25">
      <c r="A216" t="s">
        <v>23</v>
      </c>
      <c r="B216" t="s">
        <v>57</v>
      </c>
      <c r="C216" t="s">
        <v>15</v>
      </c>
      <c r="D216" t="s">
        <v>67</v>
      </c>
      <c r="E216" t="s">
        <v>16</v>
      </c>
      <c r="F216" t="s">
        <v>17</v>
      </c>
      <c r="G216" t="s">
        <v>18</v>
      </c>
      <c r="H216" s="1">
        <v>7.13</v>
      </c>
      <c r="I216" s="2">
        <v>25375</v>
      </c>
      <c r="J216" s="2">
        <v>21113</v>
      </c>
      <c r="K216" s="2">
        <v>17</v>
      </c>
      <c r="L216" s="2">
        <v>995</v>
      </c>
      <c r="M216" s="2">
        <v>980</v>
      </c>
      <c r="N216" s="2">
        <v>15</v>
      </c>
      <c r="O216" s="41">
        <v>4.712736E-2</v>
      </c>
      <c r="P216" s="6">
        <f t="shared" si="3"/>
        <v>3.8620689655172416E-2</v>
      </c>
      <c r="Q216" s="6">
        <v>3.8620689655172416E-2</v>
      </c>
      <c r="R216" s="32">
        <v>0.28098522167487683</v>
      </c>
      <c r="S216" s="7">
        <v>6.6995073891625619E-4</v>
      </c>
      <c r="T216" s="7">
        <v>8.0519111447923081E-4</v>
      </c>
      <c r="U216" t="s">
        <v>73</v>
      </c>
    </row>
    <row r="217" spans="1:21" ht="15.75" customHeight="1" x14ac:dyDescent="0.25">
      <c r="A217" t="s">
        <v>23</v>
      </c>
      <c r="B217" t="s">
        <v>57</v>
      </c>
      <c r="C217" t="s">
        <v>15</v>
      </c>
      <c r="D217" t="s">
        <v>67</v>
      </c>
      <c r="E217" t="s">
        <v>20</v>
      </c>
      <c r="F217" t="s">
        <v>17</v>
      </c>
      <c r="G217" t="s">
        <v>33</v>
      </c>
      <c r="H217" s="1">
        <v>7.11</v>
      </c>
      <c r="I217" s="2">
        <v>12662</v>
      </c>
      <c r="J217" s="2">
        <v>6982</v>
      </c>
      <c r="K217" s="2">
        <v>55</v>
      </c>
      <c r="L217" s="2">
        <v>3264</v>
      </c>
      <c r="M217" s="2">
        <v>3216</v>
      </c>
      <c r="N217" s="2">
        <v>18</v>
      </c>
      <c r="O217" s="41">
        <v>0.46748782999999999</v>
      </c>
      <c r="P217" s="6">
        <f t="shared" si="3"/>
        <v>0.25398831148317802</v>
      </c>
      <c r="Q217" s="6">
        <v>0.25398831148317802</v>
      </c>
      <c r="R217" s="32">
        <v>0.56152266624545888</v>
      </c>
      <c r="S217" s="7">
        <v>4.3437055757384298E-3</v>
      </c>
      <c r="T217" s="7">
        <v>7.877399026067029E-3</v>
      </c>
      <c r="U217" t="s">
        <v>73</v>
      </c>
    </row>
    <row r="218" spans="1:21" ht="15.75" customHeight="1" x14ac:dyDescent="0.25">
      <c r="A218" t="s">
        <v>23</v>
      </c>
      <c r="B218" t="s">
        <v>57</v>
      </c>
      <c r="C218" t="s">
        <v>38</v>
      </c>
      <c r="D218" t="s">
        <v>68</v>
      </c>
      <c r="E218" t="s">
        <v>16</v>
      </c>
      <c r="F218" t="s">
        <v>17</v>
      </c>
      <c r="G218" t="s">
        <v>33</v>
      </c>
      <c r="H218" s="1">
        <v>6.83</v>
      </c>
      <c r="I218" s="2">
        <v>4185</v>
      </c>
      <c r="J218" s="2">
        <v>1169</v>
      </c>
      <c r="K218" s="2">
        <v>23</v>
      </c>
      <c r="L218" s="2">
        <v>505</v>
      </c>
      <c r="M218" s="2">
        <v>497</v>
      </c>
      <c r="N218" s="2">
        <v>14</v>
      </c>
      <c r="O218" s="41">
        <v>0.43199315999999999</v>
      </c>
      <c r="P218" s="6">
        <f t="shared" si="3"/>
        <v>0.11875746714456392</v>
      </c>
      <c r="Q218" s="6">
        <v>0.11875746714456392</v>
      </c>
      <c r="R218" s="32">
        <v>1.6320191158900836</v>
      </c>
      <c r="S218" s="7">
        <v>5.4958183990442052E-3</v>
      </c>
      <c r="T218" s="7">
        <v>1.9674935842600511E-2</v>
      </c>
      <c r="U218" t="s">
        <v>73</v>
      </c>
    </row>
    <row r="219" spans="1:21" ht="15.75" customHeight="1" x14ac:dyDescent="0.25">
      <c r="A219" t="s">
        <v>23</v>
      </c>
      <c r="B219" t="s">
        <v>57</v>
      </c>
      <c r="C219" t="s">
        <v>38</v>
      </c>
      <c r="D219" t="s">
        <v>68</v>
      </c>
      <c r="E219" t="s">
        <v>20</v>
      </c>
      <c r="F219" t="s">
        <v>17</v>
      </c>
      <c r="G219" t="s">
        <v>33</v>
      </c>
      <c r="H219" s="1">
        <v>6.4</v>
      </c>
      <c r="I219" s="2">
        <v>4041</v>
      </c>
      <c r="J219" s="2">
        <v>1505</v>
      </c>
      <c r="K219" s="2">
        <v>13</v>
      </c>
      <c r="L219" s="2">
        <v>381</v>
      </c>
      <c r="M219" s="2">
        <v>378</v>
      </c>
      <c r="N219" s="2">
        <v>27</v>
      </c>
      <c r="O219" s="41">
        <v>0.25315615000000002</v>
      </c>
      <c r="P219" s="6">
        <f t="shared" si="3"/>
        <v>9.3541202672605794E-2</v>
      </c>
      <c r="Q219" s="6">
        <v>9.3541202672605794E-2</v>
      </c>
      <c r="R219" s="32">
        <v>1.5837663944568179</v>
      </c>
      <c r="S219" s="7">
        <v>3.2170254887404106E-3</v>
      </c>
      <c r="T219" s="7">
        <v>8.6378737541528243E-3</v>
      </c>
      <c r="U219" t="s">
        <v>73</v>
      </c>
    </row>
    <row r="220" spans="1:21" ht="15.75" customHeight="1" x14ac:dyDescent="0.25">
      <c r="A220" t="s">
        <v>23</v>
      </c>
      <c r="B220" t="s">
        <v>57</v>
      </c>
      <c r="C220" t="s">
        <v>38</v>
      </c>
      <c r="D220" t="s">
        <v>68</v>
      </c>
      <c r="E220" t="s">
        <v>20</v>
      </c>
      <c r="F220" t="s">
        <v>17</v>
      </c>
      <c r="G220" t="s">
        <v>34</v>
      </c>
      <c r="H220" s="1">
        <v>6.32</v>
      </c>
      <c r="I220" s="2">
        <v>1663</v>
      </c>
      <c r="J220" s="2">
        <v>742</v>
      </c>
      <c r="K220" s="2">
        <v>31</v>
      </c>
      <c r="L220" s="2">
        <v>1071</v>
      </c>
      <c r="M220" s="2">
        <v>1041</v>
      </c>
      <c r="N220" s="2">
        <v>4</v>
      </c>
      <c r="O220" s="41">
        <v>1.4433962300000001</v>
      </c>
      <c r="P220" s="6">
        <f t="shared" si="3"/>
        <v>0.62597714972940466</v>
      </c>
      <c r="Q220" s="6">
        <v>0.62597714972940466</v>
      </c>
      <c r="R220" s="32">
        <v>3.800360793746242</v>
      </c>
      <c r="S220" s="7">
        <v>1.8641010222489478E-2</v>
      </c>
      <c r="T220" s="7">
        <v>4.1778975741239892E-2</v>
      </c>
      <c r="U220" t="s">
        <v>78</v>
      </c>
    </row>
    <row r="221" spans="1:21" ht="15.75" customHeight="1" x14ac:dyDescent="0.25">
      <c r="A221" t="s">
        <v>23</v>
      </c>
      <c r="B221" t="s">
        <v>57</v>
      </c>
      <c r="C221" t="s">
        <v>38</v>
      </c>
      <c r="D221" t="s">
        <v>68</v>
      </c>
      <c r="E221" t="s">
        <v>20</v>
      </c>
      <c r="F221" t="s">
        <v>17</v>
      </c>
      <c r="G221" t="s">
        <v>34</v>
      </c>
      <c r="H221" s="1">
        <v>5.96</v>
      </c>
      <c r="I221" s="2">
        <v>3823</v>
      </c>
      <c r="J221" s="2">
        <v>1213</v>
      </c>
      <c r="K221" s="2">
        <v>19</v>
      </c>
      <c r="L221" s="2">
        <v>255</v>
      </c>
      <c r="M221" s="2">
        <v>251</v>
      </c>
      <c r="N221" s="2">
        <v>7</v>
      </c>
      <c r="O221" s="41">
        <v>0.21022258999999999</v>
      </c>
      <c r="P221" s="6">
        <f t="shared" si="3"/>
        <v>6.5655244572325397E-2</v>
      </c>
      <c r="Q221" s="6">
        <v>6.5655244572325397E-2</v>
      </c>
      <c r="R221" s="32">
        <v>1.5589850902432645</v>
      </c>
      <c r="S221" s="7">
        <v>4.9699189118493333E-3</v>
      </c>
      <c r="T221" s="7">
        <v>1.5663643858202798E-2</v>
      </c>
      <c r="U221" t="s">
        <v>73</v>
      </c>
    </row>
    <row r="222" spans="1:21" ht="15.75" customHeight="1" x14ac:dyDescent="0.25">
      <c r="A222" t="s">
        <v>23</v>
      </c>
      <c r="B222" t="s">
        <v>57</v>
      </c>
      <c r="C222" t="s">
        <v>15</v>
      </c>
      <c r="D222" t="s">
        <v>67</v>
      </c>
      <c r="E222" t="s">
        <v>16</v>
      </c>
      <c r="F222" t="s">
        <v>17</v>
      </c>
      <c r="G222" t="s">
        <v>18</v>
      </c>
      <c r="H222" s="1">
        <v>5.84</v>
      </c>
      <c r="I222" s="2">
        <v>20806</v>
      </c>
      <c r="J222" s="2">
        <v>13256</v>
      </c>
      <c r="K222" s="2">
        <v>8</v>
      </c>
      <c r="L222" s="2">
        <v>843</v>
      </c>
      <c r="M222" s="2">
        <v>834</v>
      </c>
      <c r="N222" s="2">
        <v>14</v>
      </c>
      <c r="O222" s="41">
        <v>6.3593839999999999E-2</v>
      </c>
      <c r="P222" s="6">
        <f t="shared" si="3"/>
        <v>4.008459098337018E-2</v>
      </c>
      <c r="Q222" s="6">
        <v>4.008459098337018E-2</v>
      </c>
      <c r="R222" s="32">
        <v>0.28068826300105737</v>
      </c>
      <c r="S222" s="7">
        <v>3.8450446986446215E-4</v>
      </c>
      <c r="T222" s="7">
        <v>6.0350030175015089E-4</v>
      </c>
      <c r="U222" t="s">
        <v>73</v>
      </c>
    </row>
    <row r="223" spans="1:21" ht="15.75" customHeight="1" x14ac:dyDescent="0.25">
      <c r="A223" t="s">
        <v>23</v>
      </c>
      <c r="B223" t="s">
        <v>57</v>
      </c>
      <c r="C223" t="s">
        <v>38</v>
      </c>
      <c r="D223" t="s">
        <v>68</v>
      </c>
      <c r="E223" t="s">
        <v>16</v>
      </c>
      <c r="F223" t="s">
        <v>41</v>
      </c>
      <c r="G223" t="s">
        <v>34</v>
      </c>
      <c r="H223" s="1">
        <v>5.38</v>
      </c>
      <c r="I223" s="2">
        <v>3032</v>
      </c>
      <c r="J223" s="2">
        <v>1038</v>
      </c>
      <c r="K223" s="2">
        <v>7</v>
      </c>
      <c r="L223" s="2">
        <v>232</v>
      </c>
      <c r="M223" s="2">
        <v>227</v>
      </c>
      <c r="N223" s="2">
        <v>281</v>
      </c>
      <c r="O223" s="41">
        <v>0.22350674000000001</v>
      </c>
      <c r="P223" s="6">
        <f t="shared" si="3"/>
        <v>7.4868073878627969E-2</v>
      </c>
      <c r="Q223" s="6">
        <v>7.4868073878627969E-2</v>
      </c>
      <c r="R223" s="32">
        <v>1.7744063324538257</v>
      </c>
      <c r="S223" s="7">
        <v>2.3087071240105541E-3</v>
      </c>
      <c r="T223" s="7">
        <v>6.7437379576107898E-3</v>
      </c>
      <c r="U223" t="s">
        <v>73</v>
      </c>
    </row>
    <row r="224" spans="1:21" ht="15.75" customHeight="1" x14ac:dyDescent="0.25">
      <c r="A224" t="s">
        <v>23</v>
      </c>
      <c r="B224" t="s">
        <v>57</v>
      </c>
      <c r="C224" t="s">
        <v>38</v>
      </c>
      <c r="D224" t="s">
        <v>68</v>
      </c>
      <c r="E224" t="s">
        <v>20</v>
      </c>
      <c r="F224" t="s">
        <v>17</v>
      </c>
      <c r="G224" t="s">
        <v>18</v>
      </c>
      <c r="H224" s="1">
        <v>5.27</v>
      </c>
      <c r="I224" s="2">
        <v>2951</v>
      </c>
      <c r="J224" s="2">
        <v>1522</v>
      </c>
      <c r="K224" s="2">
        <v>4</v>
      </c>
      <c r="L224" s="2">
        <v>210</v>
      </c>
      <c r="M224" s="2">
        <v>208</v>
      </c>
      <c r="N224" s="2">
        <v>12</v>
      </c>
      <c r="O224" s="41">
        <v>0.13797635</v>
      </c>
      <c r="P224" s="6">
        <f t="shared" si="3"/>
        <v>7.0484581497797363E-2</v>
      </c>
      <c r="Q224" s="6">
        <v>7.0484581497797363E-2</v>
      </c>
      <c r="R224" s="32">
        <v>1.7858353100643849</v>
      </c>
      <c r="S224" s="7">
        <v>1.3554727211114877E-3</v>
      </c>
      <c r="T224" s="7">
        <v>2.6281208935611039E-3</v>
      </c>
      <c r="U224" t="s">
        <v>73</v>
      </c>
    </row>
    <row r="225" spans="1:21" ht="15.75" customHeight="1" x14ac:dyDescent="0.25">
      <c r="A225" t="s">
        <v>23</v>
      </c>
      <c r="B225" t="s">
        <v>57</v>
      </c>
      <c r="C225" t="s">
        <v>15</v>
      </c>
      <c r="D225" t="s">
        <v>67</v>
      </c>
      <c r="E225" t="s">
        <v>20</v>
      </c>
      <c r="F225" t="s">
        <v>17</v>
      </c>
      <c r="G225" t="s">
        <v>18</v>
      </c>
      <c r="H225" s="1">
        <v>5.19</v>
      </c>
      <c r="I225" s="2">
        <v>17344</v>
      </c>
      <c r="J225" s="2">
        <v>14490</v>
      </c>
      <c r="K225" s="2">
        <v>16</v>
      </c>
      <c r="L225" s="2">
        <v>906</v>
      </c>
      <c r="M225" s="2">
        <v>891</v>
      </c>
      <c r="N225" s="2">
        <v>34</v>
      </c>
      <c r="O225" s="41">
        <v>6.2525880000000006E-2</v>
      </c>
      <c r="P225" s="6">
        <f t="shared" si="3"/>
        <v>5.1372232472324725E-2</v>
      </c>
      <c r="Q225" s="6">
        <v>5.1372232472324725E-2</v>
      </c>
      <c r="R225" s="32">
        <v>0.29923892988929895</v>
      </c>
      <c r="S225" s="7">
        <v>9.225092250922509E-4</v>
      </c>
      <c r="T225" s="7">
        <v>1.1042097998619741E-3</v>
      </c>
      <c r="U225" t="s">
        <v>73</v>
      </c>
    </row>
    <row r="226" spans="1:21" ht="15.75" customHeight="1" x14ac:dyDescent="0.25">
      <c r="A226" t="s">
        <v>23</v>
      </c>
      <c r="B226" t="s">
        <v>57</v>
      </c>
      <c r="C226" t="s">
        <v>38</v>
      </c>
      <c r="D226" t="s">
        <v>68</v>
      </c>
      <c r="E226" t="s">
        <v>16</v>
      </c>
      <c r="F226" t="s">
        <v>17</v>
      </c>
      <c r="G226" t="s">
        <v>18</v>
      </c>
      <c r="H226" s="1">
        <v>4.63</v>
      </c>
      <c r="I226" s="2">
        <v>2673</v>
      </c>
      <c r="J226" s="2">
        <v>1363</v>
      </c>
      <c r="K226" s="2">
        <v>0</v>
      </c>
      <c r="L226" s="2">
        <v>143</v>
      </c>
      <c r="M226" s="2">
        <v>143</v>
      </c>
      <c r="N226" s="2">
        <v>1</v>
      </c>
      <c r="O226" s="41">
        <v>0.10491563</v>
      </c>
      <c r="P226" s="6">
        <f t="shared" si="3"/>
        <v>5.3497942386831275E-2</v>
      </c>
      <c r="Q226" s="6">
        <v>5.3497942386831275E-2</v>
      </c>
      <c r="R226" s="32">
        <v>1.7321361765806209</v>
      </c>
      <c r="S226" s="7">
        <v>0</v>
      </c>
      <c r="T226" s="7">
        <v>0</v>
      </c>
      <c r="U226" t="s">
        <v>73</v>
      </c>
    </row>
    <row r="227" spans="1:21" ht="15.75" customHeight="1" x14ac:dyDescent="0.25">
      <c r="A227" t="s">
        <v>23</v>
      </c>
      <c r="B227" t="s">
        <v>57</v>
      </c>
      <c r="C227" t="s">
        <v>38</v>
      </c>
      <c r="D227" t="s">
        <v>68</v>
      </c>
      <c r="E227" t="s">
        <v>16</v>
      </c>
      <c r="F227" t="s">
        <v>17</v>
      </c>
      <c r="G227" t="s">
        <v>18</v>
      </c>
      <c r="H227" s="1">
        <v>3.8</v>
      </c>
      <c r="I227" s="2">
        <v>2239</v>
      </c>
      <c r="J227" s="2">
        <v>965</v>
      </c>
      <c r="K227" s="2">
        <v>1</v>
      </c>
      <c r="L227" s="2">
        <v>155</v>
      </c>
      <c r="M227" s="2">
        <v>153</v>
      </c>
      <c r="N227" s="2">
        <v>2</v>
      </c>
      <c r="O227" s="41">
        <v>0.16062176</v>
      </c>
      <c r="P227" s="6">
        <f t="shared" si="3"/>
        <v>6.8334077713264857E-2</v>
      </c>
      <c r="Q227" s="6">
        <v>6.8334077713264857E-2</v>
      </c>
      <c r="R227" s="32">
        <v>1.6971862438588654</v>
      </c>
      <c r="S227" s="7">
        <v>4.4662795891022776E-4</v>
      </c>
      <c r="T227" s="7">
        <v>1.036269430051813E-3</v>
      </c>
      <c r="U227" t="s">
        <v>73</v>
      </c>
    </row>
    <row r="228" spans="1:21" ht="15.75" customHeight="1" x14ac:dyDescent="0.25">
      <c r="A228" t="s">
        <v>23</v>
      </c>
      <c r="B228" t="s">
        <v>57</v>
      </c>
      <c r="C228" t="s">
        <v>38</v>
      </c>
      <c r="D228" t="s">
        <v>68</v>
      </c>
      <c r="E228" t="s">
        <v>16</v>
      </c>
      <c r="F228" t="s">
        <v>17</v>
      </c>
      <c r="G228" t="s">
        <v>18</v>
      </c>
      <c r="H228" s="1">
        <v>3.19</v>
      </c>
      <c r="I228" s="2">
        <v>1873</v>
      </c>
      <c r="J228" s="2">
        <v>1081</v>
      </c>
      <c r="K228" s="2">
        <v>1</v>
      </c>
      <c r="L228" s="2">
        <v>178</v>
      </c>
      <c r="M228" s="2">
        <v>177</v>
      </c>
      <c r="N228" s="2">
        <v>3</v>
      </c>
      <c r="O228" s="41">
        <v>0.16466235000000001</v>
      </c>
      <c r="P228" s="6">
        <f t="shared" si="3"/>
        <v>9.4500800854244532E-2</v>
      </c>
      <c r="Q228" s="6">
        <v>9.4500800854244532E-2</v>
      </c>
      <c r="R228" s="32">
        <v>1.7031500266951414</v>
      </c>
      <c r="S228" s="7">
        <v>5.339028296849973E-4</v>
      </c>
      <c r="T228" s="7">
        <v>9.2506938020351531E-4</v>
      </c>
      <c r="U228" t="s">
        <v>73</v>
      </c>
    </row>
    <row r="229" spans="1:21" ht="15.75" customHeight="1" x14ac:dyDescent="0.25">
      <c r="A229" t="s">
        <v>23</v>
      </c>
      <c r="B229" t="s">
        <v>57</v>
      </c>
      <c r="C229" t="s">
        <v>38</v>
      </c>
      <c r="D229" t="s">
        <v>68</v>
      </c>
      <c r="E229" t="s">
        <v>16</v>
      </c>
      <c r="F229" t="s">
        <v>17</v>
      </c>
      <c r="G229" t="s">
        <v>34</v>
      </c>
      <c r="H229" s="1">
        <v>2.85</v>
      </c>
      <c r="I229" s="2">
        <v>846</v>
      </c>
      <c r="J229" s="2">
        <v>415</v>
      </c>
      <c r="K229" s="2">
        <v>13</v>
      </c>
      <c r="L229" s="2">
        <v>494</v>
      </c>
      <c r="M229" s="2">
        <v>481</v>
      </c>
      <c r="N229" s="2">
        <v>3</v>
      </c>
      <c r="O229" s="41">
        <v>1.1903614499999999</v>
      </c>
      <c r="P229" s="6">
        <f t="shared" si="3"/>
        <v>0.5685579196217494</v>
      </c>
      <c r="Q229" s="6">
        <v>0.5685579196217494</v>
      </c>
      <c r="R229" s="32">
        <v>3.3687943262411348</v>
      </c>
      <c r="S229" s="7">
        <v>1.5366430260047281E-2</v>
      </c>
      <c r="T229" s="7">
        <v>3.1325301204819279E-2</v>
      </c>
      <c r="U229" t="s">
        <v>78</v>
      </c>
    </row>
    <row r="230" spans="1:21" ht="15.75" customHeight="1" x14ac:dyDescent="0.25">
      <c r="A230" t="s">
        <v>23</v>
      </c>
      <c r="B230" t="s">
        <v>57</v>
      </c>
      <c r="C230" t="s">
        <v>38</v>
      </c>
      <c r="D230" t="s">
        <v>68</v>
      </c>
      <c r="E230" t="s">
        <v>16</v>
      </c>
      <c r="F230" t="s">
        <v>17</v>
      </c>
      <c r="G230" t="s">
        <v>34</v>
      </c>
      <c r="H230" s="1">
        <v>0.92</v>
      </c>
      <c r="I230" s="2">
        <v>404</v>
      </c>
      <c r="J230" s="2">
        <v>255</v>
      </c>
      <c r="K230" s="2">
        <v>1</v>
      </c>
      <c r="L230" s="2">
        <v>88</v>
      </c>
      <c r="M230" s="2">
        <v>87</v>
      </c>
      <c r="N230" s="2">
        <v>74</v>
      </c>
      <c r="O230" s="41">
        <v>0.34509803999999999</v>
      </c>
      <c r="P230" s="6">
        <f t="shared" si="3"/>
        <v>0.21534653465346534</v>
      </c>
      <c r="Q230" s="6">
        <v>0.21534653465346534</v>
      </c>
      <c r="R230" s="32">
        <v>2.2772277227722775</v>
      </c>
      <c r="S230" s="7">
        <v>2.4752475247524753E-3</v>
      </c>
      <c r="T230" s="7">
        <v>3.9215686274509803E-3</v>
      </c>
      <c r="U230" t="s">
        <v>73</v>
      </c>
    </row>
    <row r="231" spans="1:21" ht="15.75" customHeight="1" x14ac:dyDescent="0.25">
      <c r="A231" t="s">
        <v>23</v>
      </c>
      <c r="B231" t="s">
        <v>57</v>
      </c>
      <c r="C231" t="s">
        <v>15</v>
      </c>
      <c r="D231" t="s">
        <v>67</v>
      </c>
      <c r="E231" t="s">
        <v>16</v>
      </c>
      <c r="F231" t="s">
        <v>17</v>
      </c>
      <c r="G231" t="s">
        <v>34</v>
      </c>
      <c r="H231" s="1">
        <v>0.62</v>
      </c>
      <c r="I231" s="2">
        <v>1281</v>
      </c>
      <c r="J231" s="2">
        <v>776</v>
      </c>
      <c r="K231" s="2">
        <v>3</v>
      </c>
      <c r="L231" s="2">
        <v>186</v>
      </c>
      <c r="M231" s="2">
        <v>185</v>
      </c>
      <c r="N231" s="2">
        <v>175</v>
      </c>
      <c r="O231" s="41">
        <v>0.23969072</v>
      </c>
      <c r="P231" s="6">
        <f t="shared" si="3"/>
        <v>0.14441842310694769</v>
      </c>
      <c r="Q231" s="6">
        <v>0.14441842310694769</v>
      </c>
      <c r="R231" s="32">
        <v>0.48399687743950037</v>
      </c>
      <c r="S231" s="7">
        <v>2.34192037470726E-3</v>
      </c>
      <c r="T231" s="7">
        <v>3.8659793814432991E-3</v>
      </c>
      <c r="U231" t="s">
        <v>73</v>
      </c>
    </row>
    <row r="232" spans="1:21" ht="15.75" customHeight="1" x14ac:dyDescent="0.25">
      <c r="A232" t="s">
        <v>23</v>
      </c>
      <c r="B232" t="s">
        <v>57</v>
      </c>
      <c r="C232" t="s">
        <v>38</v>
      </c>
      <c r="D232" t="s">
        <v>68</v>
      </c>
      <c r="E232" t="s">
        <v>20</v>
      </c>
      <c r="F232" t="s">
        <v>17</v>
      </c>
      <c r="G232" t="s">
        <v>34</v>
      </c>
      <c r="H232" s="1">
        <v>0.51</v>
      </c>
      <c r="I232" s="2">
        <v>172</v>
      </c>
      <c r="J232" s="2">
        <v>134</v>
      </c>
      <c r="K232" s="2">
        <v>1</v>
      </c>
      <c r="L232" s="2">
        <v>54</v>
      </c>
      <c r="M232" s="2">
        <v>53</v>
      </c>
      <c r="N232" s="2">
        <v>47</v>
      </c>
      <c r="O232" s="41">
        <v>0.40298507</v>
      </c>
      <c r="P232" s="6">
        <f t="shared" si="3"/>
        <v>0.30813953488372092</v>
      </c>
      <c r="Q232" s="6">
        <v>0.30813953488372092</v>
      </c>
      <c r="R232" s="32">
        <v>2.9651162790697674</v>
      </c>
      <c r="S232" s="7">
        <v>5.8139534883720929E-3</v>
      </c>
      <c r="T232" s="7">
        <v>7.462686567164179E-3</v>
      </c>
      <c r="U232" t="s">
        <v>73</v>
      </c>
    </row>
    <row r="233" spans="1:21" ht="15.75" customHeight="1" x14ac:dyDescent="0.25">
      <c r="A233" t="s">
        <v>23</v>
      </c>
      <c r="B233" t="s">
        <v>57</v>
      </c>
      <c r="C233" t="s">
        <v>15</v>
      </c>
      <c r="D233" t="s">
        <v>67</v>
      </c>
      <c r="E233" t="s">
        <v>20</v>
      </c>
      <c r="F233" t="s">
        <v>17</v>
      </c>
      <c r="G233" t="s">
        <v>34</v>
      </c>
      <c r="H233" s="1">
        <v>0.5</v>
      </c>
      <c r="I233" s="2">
        <v>1237</v>
      </c>
      <c r="J233" s="2">
        <v>926</v>
      </c>
      <c r="K233" s="2">
        <v>7</v>
      </c>
      <c r="L233" s="2">
        <v>143</v>
      </c>
      <c r="M233" s="2">
        <v>140</v>
      </c>
      <c r="N233" s="2">
        <v>115</v>
      </c>
      <c r="O233" s="41">
        <v>0.15442765</v>
      </c>
      <c r="P233" s="6">
        <f t="shared" si="3"/>
        <v>0.11317704122877931</v>
      </c>
      <c r="Q233" s="6">
        <v>0.11317704122877931</v>
      </c>
      <c r="R233" s="32">
        <v>0.40420371867421179</v>
      </c>
      <c r="S233" s="7">
        <v>5.6588520614389648E-3</v>
      </c>
      <c r="T233" s="7">
        <v>7.5593952483801298E-3</v>
      </c>
      <c r="U233" t="s">
        <v>73</v>
      </c>
    </row>
    <row r="234" spans="1:21" ht="15.75" customHeight="1" x14ac:dyDescent="0.25">
      <c r="A234" t="s">
        <v>23</v>
      </c>
      <c r="B234" t="s">
        <v>57</v>
      </c>
      <c r="C234" t="s">
        <v>38</v>
      </c>
      <c r="D234" t="s">
        <v>68</v>
      </c>
      <c r="E234" t="s">
        <v>16</v>
      </c>
      <c r="F234" t="s">
        <v>17</v>
      </c>
      <c r="G234" t="s">
        <v>18</v>
      </c>
      <c r="H234" s="1">
        <v>0</v>
      </c>
      <c r="I234" s="2">
        <v>1</v>
      </c>
      <c r="J234" s="2">
        <v>1</v>
      </c>
      <c r="K234" s="2">
        <v>0</v>
      </c>
      <c r="L234" s="2">
        <v>0</v>
      </c>
      <c r="M234" s="2">
        <v>0</v>
      </c>
      <c r="N234" s="2">
        <v>0</v>
      </c>
      <c r="O234" s="41">
        <v>0</v>
      </c>
      <c r="P234" s="6">
        <f t="shared" si="3"/>
        <v>0</v>
      </c>
      <c r="Q234" s="6">
        <v>0</v>
      </c>
      <c r="R234" s="32">
        <v>0</v>
      </c>
      <c r="S234" s="7">
        <v>0</v>
      </c>
      <c r="T234" s="7">
        <v>0</v>
      </c>
      <c r="U234" t="s">
        <v>73</v>
      </c>
    </row>
    <row r="235" spans="1:21" ht="15.75" customHeight="1" x14ac:dyDescent="0.25">
      <c r="A235" t="s">
        <v>23</v>
      </c>
      <c r="B235" t="s">
        <v>57</v>
      </c>
      <c r="C235" t="s">
        <v>38</v>
      </c>
      <c r="D235" t="s">
        <v>68</v>
      </c>
      <c r="E235" t="s">
        <v>16</v>
      </c>
      <c r="F235" t="s">
        <v>17</v>
      </c>
      <c r="G235" t="s">
        <v>18</v>
      </c>
      <c r="H235" s="1">
        <v>0</v>
      </c>
      <c r="I235" s="2">
        <v>2</v>
      </c>
      <c r="J235" s="2">
        <v>2</v>
      </c>
      <c r="K235" s="2">
        <v>0</v>
      </c>
      <c r="L235" s="2">
        <v>0</v>
      </c>
      <c r="M235" s="2">
        <v>0</v>
      </c>
      <c r="N235" s="2">
        <v>0</v>
      </c>
      <c r="O235" s="41">
        <v>0</v>
      </c>
      <c r="P235" s="6">
        <f t="shared" si="3"/>
        <v>0</v>
      </c>
      <c r="Q235" s="6">
        <v>0</v>
      </c>
      <c r="R235" s="32">
        <v>0</v>
      </c>
      <c r="S235" s="7">
        <v>0</v>
      </c>
      <c r="T235" s="7">
        <v>0</v>
      </c>
      <c r="U235" t="s">
        <v>73</v>
      </c>
    </row>
    <row r="236" spans="1:21" ht="15.75" customHeight="1" x14ac:dyDescent="0.25">
      <c r="A236" t="s">
        <v>23</v>
      </c>
      <c r="B236" t="s">
        <v>57</v>
      </c>
      <c r="C236" t="s">
        <v>38</v>
      </c>
      <c r="D236" t="s">
        <v>68</v>
      </c>
      <c r="E236" t="s">
        <v>20</v>
      </c>
      <c r="F236" t="s">
        <v>17</v>
      </c>
      <c r="G236" t="s">
        <v>18</v>
      </c>
      <c r="H236" s="1">
        <v>0</v>
      </c>
      <c r="I236" s="2">
        <v>2</v>
      </c>
      <c r="J236" s="2">
        <v>1</v>
      </c>
      <c r="K236" s="2">
        <v>0</v>
      </c>
      <c r="L236" s="2">
        <v>0</v>
      </c>
      <c r="M236" s="2">
        <v>0</v>
      </c>
      <c r="N236" s="2">
        <v>0</v>
      </c>
      <c r="O236" s="41">
        <v>0</v>
      </c>
      <c r="P236" s="6">
        <f t="shared" si="3"/>
        <v>0</v>
      </c>
      <c r="Q236" s="6">
        <v>0</v>
      </c>
      <c r="R236" s="32">
        <v>0</v>
      </c>
      <c r="S236" s="7">
        <v>0</v>
      </c>
      <c r="T236" s="7">
        <v>0</v>
      </c>
      <c r="U236" t="s">
        <v>73</v>
      </c>
    </row>
    <row r="237" spans="1:21" ht="15.75" customHeight="1" x14ac:dyDescent="0.25">
      <c r="A237" t="s">
        <v>23</v>
      </c>
      <c r="B237" t="s">
        <v>57</v>
      </c>
      <c r="C237" t="s">
        <v>38</v>
      </c>
      <c r="D237" t="s">
        <v>68</v>
      </c>
      <c r="E237" t="s">
        <v>20</v>
      </c>
      <c r="F237" t="s">
        <v>17</v>
      </c>
      <c r="G237" t="s">
        <v>18</v>
      </c>
      <c r="H237" s="1">
        <v>0</v>
      </c>
      <c r="I237" s="2">
        <v>7</v>
      </c>
      <c r="J237" s="2">
        <v>4</v>
      </c>
      <c r="K237" s="2">
        <v>0</v>
      </c>
      <c r="L237" s="2">
        <v>0</v>
      </c>
      <c r="M237" s="2">
        <v>0</v>
      </c>
      <c r="N237" s="2">
        <v>0</v>
      </c>
      <c r="O237" s="41">
        <v>0</v>
      </c>
      <c r="P237" s="6">
        <f t="shared" si="3"/>
        <v>0</v>
      </c>
      <c r="Q237" s="6">
        <v>0</v>
      </c>
      <c r="R237" s="32">
        <v>0</v>
      </c>
      <c r="S237" s="7">
        <v>0</v>
      </c>
      <c r="T237" s="7">
        <v>0</v>
      </c>
      <c r="U237" t="s">
        <v>73</v>
      </c>
    </row>
    <row r="238" spans="1:21" ht="15.75" customHeight="1" x14ac:dyDescent="0.25">
      <c r="A238" t="s">
        <v>23</v>
      </c>
      <c r="B238" t="s">
        <v>57</v>
      </c>
      <c r="C238" t="s">
        <v>38</v>
      </c>
      <c r="D238" t="s">
        <v>68</v>
      </c>
      <c r="E238" t="s">
        <v>20</v>
      </c>
      <c r="F238" t="s">
        <v>17</v>
      </c>
      <c r="G238" t="s">
        <v>18</v>
      </c>
      <c r="H238" s="1">
        <v>0</v>
      </c>
      <c r="I238" s="2">
        <v>4</v>
      </c>
      <c r="J238" s="2">
        <v>2</v>
      </c>
      <c r="K238" s="2">
        <v>0</v>
      </c>
      <c r="L238" s="2">
        <v>0</v>
      </c>
      <c r="M238" s="2">
        <v>0</v>
      </c>
      <c r="N238" s="2">
        <v>0</v>
      </c>
      <c r="O238" s="41">
        <v>0</v>
      </c>
      <c r="P238" s="6">
        <f t="shared" si="3"/>
        <v>0</v>
      </c>
      <c r="Q238" s="6">
        <v>0</v>
      </c>
      <c r="R238" s="32">
        <v>0</v>
      </c>
      <c r="S238" s="7">
        <v>0</v>
      </c>
      <c r="T238" s="7">
        <v>0</v>
      </c>
      <c r="U238" t="s">
        <v>73</v>
      </c>
    </row>
    <row r="239" spans="1:21" ht="15.75" customHeight="1" x14ac:dyDescent="0.25">
      <c r="A239" t="s">
        <v>23</v>
      </c>
      <c r="B239" t="s">
        <v>57</v>
      </c>
      <c r="C239" t="s">
        <v>15</v>
      </c>
      <c r="D239" t="s">
        <v>67</v>
      </c>
      <c r="E239" t="s">
        <v>16</v>
      </c>
      <c r="F239" t="s">
        <v>17</v>
      </c>
      <c r="G239" t="s">
        <v>18</v>
      </c>
      <c r="H239" s="1">
        <v>0</v>
      </c>
      <c r="I239" s="2">
        <v>1</v>
      </c>
      <c r="J239" s="2">
        <v>1</v>
      </c>
      <c r="K239" s="2">
        <v>0</v>
      </c>
      <c r="L239" s="2">
        <v>1</v>
      </c>
      <c r="M239" s="2">
        <v>1</v>
      </c>
      <c r="N239" s="2">
        <v>0</v>
      </c>
      <c r="O239" s="41">
        <v>1</v>
      </c>
      <c r="P239" s="6">
        <f t="shared" si="3"/>
        <v>1</v>
      </c>
      <c r="Q239" s="6">
        <v>1</v>
      </c>
      <c r="R239" s="32">
        <v>0</v>
      </c>
      <c r="S239" s="7">
        <v>0</v>
      </c>
      <c r="T239" s="7">
        <v>0</v>
      </c>
      <c r="U239" t="s">
        <v>73</v>
      </c>
    </row>
    <row r="240" spans="1:21" ht="15.75" customHeight="1" x14ac:dyDescent="0.25">
      <c r="A240" t="s">
        <v>23</v>
      </c>
      <c r="B240" t="s">
        <v>57</v>
      </c>
      <c r="C240" t="s">
        <v>15</v>
      </c>
      <c r="D240" t="s">
        <v>67</v>
      </c>
      <c r="E240" t="s">
        <v>16</v>
      </c>
      <c r="F240" t="s">
        <v>17</v>
      </c>
      <c r="G240" t="s">
        <v>18</v>
      </c>
      <c r="H240" s="1">
        <v>0</v>
      </c>
      <c r="I240" s="2">
        <v>4</v>
      </c>
      <c r="J240" s="2">
        <v>4</v>
      </c>
      <c r="K240" s="2">
        <v>0</v>
      </c>
      <c r="L240" s="2">
        <v>1</v>
      </c>
      <c r="M240" s="2">
        <v>1</v>
      </c>
      <c r="N240" s="2">
        <v>0</v>
      </c>
      <c r="O240" s="41">
        <v>0.25</v>
      </c>
      <c r="P240" s="6">
        <f t="shared" si="3"/>
        <v>0.25</v>
      </c>
      <c r="Q240" s="6">
        <v>0.25</v>
      </c>
      <c r="R240" s="32">
        <v>0</v>
      </c>
      <c r="S240" s="7">
        <v>0</v>
      </c>
      <c r="T240" s="7">
        <v>0</v>
      </c>
      <c r="U240" t="s">
        <v>73</v>
      </c>
    </row>
    <row r="241" spans="1:21" ht="15.75" customHeight="1" x14ac:dyDescent="0.25">
      <c r="A241" t="s">
        <v>23</v>
      </c>
      <c r="B241" t="s">
        <v>57</v>
      </c>
      <c r="C241" t="s">
        <v>15</v>
      </c>
      <c r="D241" t="s">
        <v>67</v>
      </c>
      <c r="E241" t="s">
        <v>16</v>
      </c>
      <c r="F241" t="s">
        <v>17</v>
      </c>
      <c r="G241" t="s">
        <v>18</v>
      </c>
      <c r="H241" s="1">
        <v>0</v>
      </c>
      <c r="I241" s="2">
        <v>2</v>
      </c>
      <c r="J241" s="2">
        <v>2</v>
      </c>
      <c r="K241" s="2">
        <v>0</v>
      </c>
      <c r="L241" s="2">
        <v>0</v>
      </c>
      <c r="M241" s="2">
        <v>0</v>
      </c>
      <c r="N241" s="2">
        <v>0</v>
      </c>
      <c r="O241" s="41">
        <v>0</v>
      </c>
      <c r="P241" s="6">
        <f t="shared" si="3"/>
        <v>0</v>
      </c>
      <c r="Q241" s="6">
        <v>0</v>
      </c>
      <c r="R241" s="32">
        <v>0</v>
      </c>
      <c r="S241" s="7">
        <v>0</v>
      </c>
      <c r="T241" s="7">
        <v>0</v>
      </c>
      <c r="U241" t="s">
        <v>73</v>
      </c>
    </row>
    <row r="242" spans="1:21" ht="15.75" customHeight="1" x14ac:dyDescent="0.25">
      <c r="A242" t="s">
        <v>23</v>
      </c>
      <c r="B242" t="s">
        <v>57</v>
      </c>
      <c r="C242" t="s">
        <v>15</v>
      </c>
      <c r="D242" t="s">
        <v>67</v>
      </c>
      <c r="E242" t="s">
        <v>20</v>
      </c>
      <c r="F242" t="s">
        <v>17</v>
      </c>
      <c r="G242" t="s">
        <v>18</v>
      </c>
      <c r="H242" s="1">
        <v>0</v>
      </c>
      <c r="I242" s="2">
        <v>1</v>
      </c>
      <c r="J242" s="2">
        <v>1</v>
      </c>
      <c r="K242" s="2">
        <v>0</v>
      </c>
      <c r="L242" s="2">
        <v>0</v>
      </c>
      <c r="M242" s="2">
        <v>0</v>
      </c>
      <c r="N242" s="2">
        <v>0</v>
      </c>
      <c r="O242" s="41">
        <v>0</v>
      </c>
      <c r="P242" s="6">
        <f t="shared" si="3"/>
        <v>0</v>
      </c>
      <c r="Q242" s="6">
        <v>0</v>
      </c>
      <c r="R242" s="32">
        <v>0</v>
      </c>
      <c r="S242" s="7">
        <v>0</v>
      </c>
      <c r="T242" s="7">
        <v>0</v>
      </c>
      <c r="U242" t="s">
        <v>73</v>
      </c>
    </row>
    <row r="243" spans="1:21" ht="15.75" customHeight="1" x14ac:dyDescent="0.25">
      <c r="A243" t="s">
        <v>35</v>
      </c>
      <c r="B243" t="s">
        <v>56</v>
      </c>
      <c r="C243" t="s">
        <v>15</v>
      </c>
      <c r="D243" t="s">
        <v>67</v>
      </c>
      <c r="E243" t="s">
        <v>16</v>
      </c>
      <c r="F243" t="s">
        <v>17</v>
      </c>
      <c r="G243" t="s">
        <v>33</v>
      </c>
      <c r="H243" s="1">
        <v>1613.83</v>
      </c>
      <c r="I243" s="2">
        <v>2835346</v>
      </c>
      <c r="J243" s="2">
        <v>451331</v>
      </c>
      <c r="K243" s="2">
        <v>9696</v>
      </c>
      <c r="L243" s="2">
        <v>524690</v>
      </c>
      <c r="M243" s="2">
        <v>517974</v>
      </c>
      <c r="N243" s="2">
        <v>7711</v>
      </c>
      <c r="O243" s="41">
        <v>1.16253925</v>
      </c>
      <c r="P243" s="6">
        <f t="shared" si="3"/>
        <v>0.18268458241075339</v>
      </c>
      <c r="Q243" s="6">
        <v>0.18268458241075339</v>
      </c>
      <c r="R243" s="32">
        <v>0.5691827381913882</v>
      </c>
      <c r="S243" s="7">
        <v>3.41968846130243E-3</v>
      </c>
      <c r="T243" s="7">
        <v>2.1483124358840849E-2</v>
      </c>
      <c r="U243" t="s">
        <v>73</v>
      </c>
    </row>
    <row r="244" spans="1:21" ht="15.75" customHeight="1" x14ac:dyDescent="0.25">
      <c r="A244" t="s">
        <v>35</v>
      </c>
      <c r="B244" t="s">
        <v>56</v>
      </c>
      <c r="C244" t="s">
        <v>15</v>
      </c>
      <c r="D244" t="s">
        <v>67</v>
      </c>
      <c r="E244" t="s">
        <v>16</v>
      </c>
      <c r="F244" t="s">
        <v>17</v>
      </c>
      <c r="G244" t="s">
        <v>34</v>
      </c>
      <c r="H244" s="1">
        <v>837.03</v>
      </c>
      <c r="I244" s="2">
        <v>1118842</v>
      </c>
      <c r="J244" s="2">
        <v>294721</v>
      </c>
      <c r="K244" s="2">
        <v>9408</v>
      </c>
      <c r="L244" s="2">
        <v>365767</v>
      </c>
      <c r="M244" s="2">
        <v>358257</v>
      </c>
      <c r="N244" s="2">
        <v>7123</v>
      </c>
      <c r="O244" s="41">
        <v>1.2410618899999999</v>
      </c>
      <c r="P244" s="6">
        <f t="shared" si="3"/>
        <v>0.32020338886098304</v>
      </c>
      <c r="Q244" s="6">
        <v>0.32020338886098304</v>
      </c>
      <c r="R244" s="32">
        <v>0.74812171870559019</v>
      </c>
      <c r="S244" s="7">
        <v>8.4086939889635899E-3</v>
      </c>
      <c r="T244" s="7">
        <v>3.1921715792223831E-2</v>
      </c>
      <c r="U244" t="s">
        <v>73</v>
      </c>
    </row>
    <row r="245" spans="1:21" ht="15.75" customHeight="1" x14ac:dyDescent="0.25">
      <c r="A245" t="s">
        <v>35</v>
      </c>
      <c r="B245" t="s">
        <v>56</v>
      </c>
      <c r="C245" t="s">
        <v>15</v>
      </c>
      <c r="D245" t="s">
        <v>67</v>
      </c>
      <c r="E245" t="s">
        <v>20</v>
      </c>
      <c r="F245" t="s">
        <v>17</v>
      </c>
      <c r="G245" t="s">
        <v>34</v>
      </c>
      <c r="H245" s="1">
        <v>362.25</v>
      </c>
      <c r="I245" s="2">
        <v>1054459</v>
      </c>
      <c r="J245" s="2">
        <v>325566</v>
      </c>
      <c r="K245" s="2">
        <v>3112</v>
      </c>
      <c r="L245" s="2">
        <v>44847</v>
      </c>
      <c r="M245" s="2">
        <v>43765</v>
      </c>
      <c r="N245" s="2">
        <v>1865</v>
      </c>
      <c r="O245" s="41">
        <v>0.13775087</v>
      </c>
      <c r="P245" s="6">
        <f t="shared" si="3"/>
        <v>4.1504695772903451E-2</v>
      </c>
      <c r="Q245" s="6">
        <v>4.1504695772903451E-2</v>
      </c>
      <c r="R245" s="32">
        <v>0.34354109548118988</v>
      </c>
      <c r="S245" s="7">
        <v>2.9512764365423405E-3</v>
      </c>
      <c r="T245" s="7">
        <v>9.5587377060258136E-3</v>
      </c>
      <c r="U245" t="s">
        <v>73</v>
      </c>
    </row>
    <row r="246" spans="1:21" ht="15.75" customHeight="1" x14ac:dyDescent="0.25">
      <c r="A246" t="s">
        <v>35</v>
      </c>
      <c r="B246" t="s">
        <v>56</v>
      </c>
      <c r="C246" t="s">
        <v>15</v>
      </c>
      <c r="D246" t="s">
        <v>67</v>
      </c>
      <c r="E246" t="s">
        <v>20</v>
      </c>
      <c r="F246" t="s">
        <v>17</v>
      </c>
      <c r="G246" t="s">
        <v>33</v>
      </c>
      <c r="H246" s="1">
        <v>346</v>
      </c>
      <c r="I246" s="2">
        <v>1058827</v>
      </c>
      <c r="J246" s="2">
        <v>290734</v>
      </c>
      <c r="K246" s="2">
        <v>3600</v>
      </c>
      <c r="L246" s="2">
        <v>54659</v>
      </c>
      <c r="M246" s="2">
        <v>53762</v>
      </c>
      <c r="N246" s="2">
        <v>2562</v>
      </c>
      <c r="O246" s="41">
        <v>0.18800347000000001</v>
      </c>
      <c r="P246" s="6">
        <f t="shared" si="3"/>
        <v>5.0775055792872677E-2</v>
      </c>
      <c r="Q246" s="6">
        <v>5.0775055792872677E-2</v>
      </c>
      <c r="R246" s="32">
        <v>0.32677670667635034</v>
      </c>
      <c r="S246" s="7">
        <v>3.3999888555920846E-3</v>
      </c>
      <c r="T246" s="7">
        <v>1.238245268871202E-2</v>
      </c>
      <c r="U246" t="s">
        <v>73</v>
      </c>
    </row>
    <row r="247" spans="1:21" ht="15.75" customHeight="1" x14ac:dyDescent="0.25">
      <c r="A247" t="s">
        <v>35</v>
      </c>
      <c r="B247" t="s">
        <v>56</v>
      </c>
      <c r="C247" t="s">
        <v>15</v>
      </c>
      <c r="D247" t="s">
        <v>67</v>
      </c>
      <c r="E247" t="s">
        <v>20</v>
      </c>
      <c r="F247" t="s">
        <v>17</v>
      </c>
      <c r="G247" t="s">
        <v>34</v>
      </c>
      <c r="H247" s="1">
        <v>331.31</v>
      </c>
      <c r="I247" s="2">
        <v>273187</v>
      </c>
      <c r="J247" s="2">
        <v>126754</v>
      </c>
      <c r="K247" s="2">
        <v>2582</v>
      </c>
      <c r="L247" s="2">
        <v>220354</v>
      </c>
      <c r="M247" s="2">
        <v>217862</v>
      </c>
      <c r="N247" s="2">
        <v>264</v>
      </c>
      <c r="O247" s="41">
        <v>1.7384382300000001</v>
      </c>
      <c r="P247" s="6">
        <f t="shared" si="3"/>
        <v>0.79748304275093618</v>
      </c>
      <c r="Q247" s="6">
        <v>0.79748304275093618</v>
      </c>
      <c r="R247" s="32">
        <v>1.2127590258687271</v>
      </c>
      <c r="S247" s="7">
        <v>9.4514014210046599E-3</v>
      </c>
      <c r="T247" s="7">
        <v>2.0370165833030911E-2</v>
      </c>
      <c r="U247" t="s">
        <v>73</v>
      </c>
    </row>
    <row r="248" spans="1:21" ht="15.75" customHeight="1" x14ac:dyDescent="0.25">
      <c r="A248" t="s">
        <v>35</v>
      </c>
      <c r="B248" t="s">
        <v>56</v>
      </c>
      <c r="C248" t="s">
        <v>15</v>
      </c>
      <c r="D248" t="s">
        <v>67</v>
      </c>
      <c r="E248" t="s">
        <v>16</v>
      </c>
      <c r="F248" t="s">
        <v>17</v>
      </c>
      <c r="G248" t="s">
        <v>33</v>
      </c>
      <c r="H248" s="1">
        <v>315.75</v>
      </c>
      <c r="I248" s="2">
        <v>963960</v>
      </c>
      <c r="J248" s="2">
        <v>317428</v>
      </c>
      <c r="K248" s="2">
        <v>3418</v>
      </c>
      <c r="L248" s="2">
        <v>68563</v>
      </c>
      <c r="M248" s="2">
        <v>68252</v>
      </c>
      <c r="N248" s="2">
        <v>2149</v>
      </c>
      <c r="O248" s="41">
        <v>0.21599544000000001</v>
      </c>
      <c r="P248" s="6">
        <f t="shared" si="3"/>
        <v>7.0803767791194655E-2</v>
      </c>
      <c r="Q248" s="6">
        <v>7.0803767791194655E-2</v>
      </c>
      <c r="R248" s="32">
        <v>0.32755508527324789</v>
      </c>
      <c r="S248" s="7">
        <v>3.5457902817544297E-3</v>
      </c>
      <c r="T248" s="7">
        <v>1.076779616164926E-2</v>
      </c>
      <c r="U248" t="s">
        <v>73</v>
      </c>
    </row>
    <row r="249" spans="1:21" ht="15.75" customHeight="1" x14ac:dyDescent="0.25">
      <c r="A249" t="s">
        <v>35</v>
      </c>
      <c r="B249" t="s">
        <v>56</v>
      </c>
      <c r="C249" t="s">
        <v>15</v>
      </c>
      <c r="D249" t="s">
        <v>67</v>
      </c>
      <c r="E249" t="s">
        <v>16</v>
      </c>
      <c r="F249" t="s">
        <v>40</v>
      </c>
      <c r="G249" t="s">
        <v>34</v>
      </c>
      <c r="H249" s="1">
        <v>310.16000000000003</v>
      </c>
      <c r="I249" s="2">
        <v>930094</v>
      </c>
      <c r="J249" s="2">
        <v>230653</v>
      </c>
      <c r="K249" s="2">
        <v>2632</v>
      </c>
      <c r="L249" s="2">
        <v>1627</v>
      </c>
      <c r="M249" s="2">
        <v>0</v>
      </c>
      <c r="N249" s="2">
        <v>0</v>
      </c>
      <c r="O249" s="41">
        <v>7.0538900000000002E-3</v>
      </c>
      <c r="P249" s="6">
        <f t="shared" si="3"/>
        <v>0</v>
      </c>
      <c r="Q249" s="6">
        <v>0</v>
      </c>
      <c r="R249" s="32">
        <v>0.33347167060533667</v>
      </c>
      <c r="S249" s="7">
        <v>2.8298215019127099E-3</v>
      </c>
      <c r="T249" s="7">
        <v>1.1411080714319779E-2</v>
      </c>
      <c r="U249" t="s">
        <v>73</v>
      </c>
    </row>
    <row r="250" spans="1:21" ht="15.75" customHeight="1" x14ac:dyDescent="0.25">
      <c r="A250" t="s">
        <v>35</v>
      </c>
      <c r="B250" t="s">
        <v>56</v>
      </c>
      <c r="C250" t="s">
        <v>15</v>
      </c>
      <c r="D250" t="s">
        <v>67</v>
      </c>
      <c r="E250" t="s">
        <v>16</v>
      </c>
      <c r="F250" t="s">
        <v>40</v>
      </c>
      <c r="G250" t="s">
        <v>34</v>
      </c>
      <c r="H250" s="1">
        <v>269.08</v>
      </c>
      <c r="I250" s="2">
        <v>787533</v>
      </c>
      <c r="J250" s="2">
        <v>261952</v>
      </c>
      <c r="K250" s="2">
        <v>1716</v>
      </c>
      <c r="L250" s="2">
        <v>1145</v>
      </c>
      <c r="M250" s="2">
        <v>0</v>
      </c>
      <c r="N250" s="2">
        <v>0</v>
      </c>
      <c r="O250" s="41">
        <v>4.3710299999999997E-3</v>
      </c>
      <c r="P250" s="6">
        <f t="shared" si="3"/>
        <v>0</v>
      </c>
      <c r="Q250" s="6">
        <v>0</v>
      </c>
      <c r="R250" s="32">
        <v>0.34167457109733812</v>
      </c>
      <c r="S250" s="7">
        <v>2.178956310402231E-3</v>
      </c>
      <c r="T250" s="7">
        <v>6.5508184705594906E-3</v>
      </c>
      <c r="U250" t="s">
        <v>73</v>
      </c>
    </row>
    <row r="251" spans="1:21" ht="15.75" customHeight="1" x14ac:dyDescent="0.25">
      <c r="A251" t="s">
        <v>35</v>
      </c>
      <c r="B251" t="s">
        <v>56</v>
      </c>
      <c r="C251" t="s">
        <v>15</v>
      </c>
      <c r="D251" t="s">
        <v>67</v>
      </c>
      <c r="E251" t="s">
        <v>20</v>
      </c>
      <c r="F251" t="s">
        <v>17</v>
      </c>
      <c r="G251" t="s">
        <v>33</v>
      </c>
      <c r="H251" s="1">
        <v>244.29</v>
      </c>
      <c r="I251" s="2">
        <v>516329</v>
      </c>
      <c r="J251" s="2">
        <v>145185</v>
      </c>
      <c r="K251" s="2">
        <v>1492</v>
      </c>
      <c r="L251" s="2">
        <v>73755</v>
      </c>
      <c r="M251" s="2">
        <v>72873</v>
      </c>
      <c r="N251" s="2">
        <v>2380</v>
      </c>
      <c r="O251" s="41">
        <v>0.50800703000000003</v>
      </c>
      <c r="P251" s="6">
        <f t="shared" si="3"/>
        <v>0.14113675582816382</v>
      </c>
      <c r="Q251" s="6">
        <v>0.14113675582816382</v>
      </c>
      <c r="R251" s="32">
        <v>0.47312856725072577</v>
      </c>
      <c r="S251" s="7">
        <v>2.889630448802992E-3</v>
      </c>
      <c r="T251" s="7">
        <v>1.027654372008127E-2</v>
      </c>
      <c r="U251" t="s">
        <v>73</v>
      </c>
    </row>
    <row r="252" spans="1:21" ht="15.75" customHeight="1" x14ac:dyDescent="0.25">
      <c r="A252" t="s">
        <v>35</v>
      </c>
      <c r="B252" t="s">
        <v>56</v>
      </c>
      <c r="C252" t="s">
        <v>15</v>
      </c>
      <c r="D252" t="s">
        <v>67</v>
      </c>
      <c r="E252" t="s">
        <v>20</v>
      </c>
      <c r="F252" t="s">
        <v>17</v>
      </c>
      <c r="G252" t="s">
        <v>34</v>
      </c>
      <c r="H252" s="1">
        <v>217.65</v>
      </c>
      <c r="I252" s="2">
        <v>652991</v>
      </c>
      <c r="J252" s="2">
        <v>240706</v>
      </c>
      <c r="K252" s="2">
        <v>2074</v>
      </c>
      <c r="L252" s="2">
        <v>28449</v>
      </c>
      <c r="M252" s="2">
        <v>27876</v>
      </c>
      <c r="N252" s="2">
        <v>1630</v>
      </c>
      <c r="O252" s="41">
        <v>0.11818982</v>
      </c>
      <c r="P252" s="6">
        <f t="shared" si="3"/>
        <v>4.2689715478467546E-2</v>
      </c>
      <c r="Q252" s="6">
        <v>4.2689715478467546E-2</v>
      </c>
      <c r="R252" s="32">
        <v>0.33331240399944256</v>
      </c>
      <c r="S252" s="7">
        <v>3.1761540358136637E-3</v>
      </c>
      <c r="T252" s="7">
        <v>8.6163203243791175E-3</v>
      </c>
      <c r="U252" t="s">
        <v>73</v>
      </c>
    </row>
    <row r="253" spans="1:21" ht="15.75" customHeight="1" x14ac:dyDescent="0.25">
      <c r="A253" t="s">
        <v>35</v>
      </c>
      <c r="B253" t="s">
        <v>56</v>
      </c>
      <c r="C253" t="s">
        <v>15</v>
      </c>
      <c r="D253" t="s">
        <v>67</v>
      </c>
      <c r="E253" t="s">
        <v>20</v>
      </c>
      <c r="F253" t="s">
        <v>17</v>
      </c>
      <c r="G253" t="s">
        <v>33</v>
      </c>
      <c r="H253" s="1">
        <v>190.02</v>
      </c>
      <c r="I253" s="2">
        <v>566544</v>
      </c>
      <c r="J253" s="2">
        <v>190832</v>
      </c>
      <c r="K253" s="2">
        <v>2073</v>
      </c>
      <c r="L253" s="2">
        <v>34666</v>
      </c>
      <c r="M253" s="2">
        <v>34460</v>
      </c>
      <c r="N253" s="2">
        <v>1773</v>
      </c>
      <c r="O253" s="41">
        <v>0.18165716000000001</v>
      </c>
      <c r="P253" s="6">
        <f t="shared" si="3"/>
        <v>6.0824931514586685E-2</v>
      </c>
      <c r="Q253" s="6">
        <v>6.0824931514586685E-2</v>
      </c>
      <c r="R253" s="32">
        <v>0.3354020164364992</v>
      </c>
      <c r="S253" s="7">
        <v>3.6590273659239175E-3</v>
      </c>
      <c r="T253" s="7">
        <v>1.086295799446634E-2</v>
      </c>
      <c r="U253" t="s">
        <v>73</v>
      </c>
    </row>
    <row r="254" spans="1:21" ht="15.75" customHeight="1" x14ac:dyDescent="0.25">
      <c r="A254" t="s">
        <v>35</v>
      </c>
      <c r="B254" t="s">
        <v>56</v>
      </c>
      <c r="C254" t="s">
        <v>15</v>
      </c>
      <c r="D254" t="s">
        <v>67</v>
      </c>
      <c r="E254" t="s">
        <v>16</v>
      </c>
      <c r="F254" t="s">
        <v>17</v>
      </c>
      <c r="G254" t="s">
        <v>34</v>
      </c>
      <c r="H254" s="1">
        <v>156.15</v>
      </c>
      <c r="I254" s="2">
        <v>471421</v>
      </c>
      <c r="J254" s="2">
        <v>199424</v>
      </c>
      <c r="K254" s="2">
        <v>2150</v>
      </c>
      <c r="L254" s="2">
        <v>34072</v>
      </c>
      <c r="M254" s="2">
        <v>33803</v>
      </c>
      <c r="N254" s="2">
        <v>1176</v>
      </c>
      <c r="O254" s="41">
        <v>0.17085205000000001</v>
      </c>
      <c r="P254" s="6">
        <f t="shared" si="3"/>
        <v>7.1704484950818909E-2</v>
      </c>
      <c r="Q254" s="6">
        <v>7.1704484950818909E-2</v>
      </c>
      <c r="R254" s="32">
        <v>0.33123259252345572</v>
      </c>
      <c r="S254" s="7">
        <v>4.5606793078797935E-3</v>
      </c>
      <c r="T254" s="7">
        <v>1.078104942233633E-2</v>
      </c>
      <c r="U254" t="s">
        <v>73</v>
      </c>
    </row>
    <row r="255" spans="1:21" ht="15.75" customHeight="1" x14ac:dyDescent="0.25">
      <c r="A255" t="s">
        <v>35</v>
      </c>
      <c r="B255" t="s">
        <v>56</v>
      </c>
      <c r="C255" t="s">
        <v>15</v>
      </c>
      <c r="D255" t="s">
        <v>67</v>
      </c>
      <c r="E255" t="s">
        <v>20</v>
      </c>
      <c r="F255" t="s">
        <v>40</v>
      </c>
      <c r="G255" t="s">
        <v>34</v>
      </c>
      <c r="H255" s="1">
        <v>140.93</v>
      </c>
      <c r="I255" s="2">
        <v>406893</v>
      </c>
      <c r="J255" s="2">
        <v>168096</v>
      </c>
      <c r="K255" s="2">
        <v>879</v>
      </c>
      <c r="L255" s="2">
        <v>525</v>
      </c>
      <c r="M255" s="2">
        <v>0</v>
      </c>
      <c r="N255" s="2">
        <v>0</v>
      </c>
      <c r="O255" s="41">
        <v>3.1232199999999999E-3</v>
      </c>
      <c r="P255" s="6">
        <f t="shared" si="3"/>
        <v>0</v>
      </c>
      <c r="Q255" s="6">
        <v>0</v>
      </c>
      <c r="R255" s="32">
        <v>0.34635641311106363</v>
      </c>
      <c r="S255" s="7">
        <v>2.1602730939092097E-3</v>
      </c>
      <c r="T255" s="7">
        <v>5.2291547687035979E-3</v>
      </c>
      <c r="U255" t="s">
        <v>73</v>
      </c>
    </row>
    <row r="256" spans="1:21" ht="15.75" customHeight="1" x14ac:dyDescent="0.25">
      <c r="A256" t="s">
        <v>35</v>
      </c>
      <c r="B256" t="s">
        <v>56</v>
      </c>
      <c r="C256" t="s">
        <v>15</v>
      </c>
      <c r="D256" t="s">
        <v>67</v>
      </c>
      <c r="E256" t="s">
        <v>16</v>
      </c>
      <c r="F256" t="s">
        <v>17</v>
      </c>
      <c r="G256" t="s">
        <v>33</v>
      </c>
      <c r="H256" s="1">
        <v>128.71</v>
      </c>
      <c r="I256" s="2">
        <v>204978</v>
      </c>
      <c r="J256" s="2">
        <v>100608</v>
      </c>
      <c r="K256" s="2">
        <v>1039</v>
      </c>
      <c r="L256" s="2">
        <v>53972</v>
      </c>
      <c r="M256" s="2">
        <v>53088</v>
      </c>
      <c r="N256" s="2">
        <v>674</v>
      </c>
      <c r="O256" s="41">
        <v>0.53645832999999998</v>
      </c>
      <c r="P256" s="6">
        <f t="shared" si="3"/>
        <v>0.25899364809882036</v>
      </c>
      <c r="Q256" s="6">
        <v>0.25899364809882036</v>
      </c>
      <c r="R256" s="32">
        <v>0.62792104518533698</v>
      </c>
      <c r="S256" s="7">
        <v>5.0688366556410928E-3</v>
      </c>
      <c r="T256" s="7">
        <v>1.032721055979644E-2</v>
      </c>
      <c r="U256" t="s">
        <v>73</v>
      </c>
    </row>
    <row r="257" spans="1:21" ht="15.75" customHeight="1" x14ac:dyDescent="0.25">
      <c r="A257" t="s">
        <v>35</v>
      </c>
      <c r="B257" t="s">
        <v>56</v>
      </c>
      <c r="C257" t="s">
        <v>15</v>
      </c>
      <c r="D257" t="s">
        <v>67</v>
      </c>
      <c r="E257" t="s">
        <v>20</v>
      </c>
      <c r="F257" t="s">
        <v>17</v>
      </c>
      <c r="G257" t="s">
        <v>34</v>
      </c>
      <c r="H257" s="1">
        <v>112.46</v>
      </c>
      <c r="I257" s="2">
        <v>93208</v>
      </c>
      <c r="J257" s="2">
        <v>63216</v>
      </c>
      <c r="K257" s="2">
        <v>1168</v>
      </c>
      <c r="L257" s="2">
        <v>74347</v>
      </c>
      <c r="M257" s="2">
        <v>73220</v>
      </c>
      <c r="N257" s="2">
        <v>176</v>
      </c>
      <c r="O257" s="41">
        <v>1.17607884</v>
      </c>
      <c r="P257" s="6">
        <f t="shared" si="3"/>
        <v>0.78555488799244699</v>
      </c>
      <c r="Q257" s="6">
        <v>0.78555488799244699</v>
      </c>
      <c r="R257" s="32">
        <v>1.2065487940949273</v>
      </c>
      <c r="S257" s="7">
        <v>1.2531113209166595E-2</v>
      </c>
      <c r="T257" s="7">
        <v>1.8476335105036702E-2</v>
      </c>
      <c r="U257" t="s">
        <v>73</v>
      </c>
    </row>
    <row r="258" spans="1:21" ht="15.75" customHeight="1" x14ac:dyDescent="0.25">
      <c r="A258" t="s">
        <v>35</v>
      </c>
      <c r="B258" t="s">
        <v>56</v>
      </c>
      <c r="C258" t="s">
        <v>15</v>
      </c>
      <c r="D258" t="s">
        <v>67</v>
      </c>
      <c r="E258" t="s">
        <v>16</v>
      </c>
      <c r="F258" t="s">
        <v>40</v>
      </c>
      <c r="G258" t="s">
        <v>34</v>
      </c>
      <c r="H258" s="1">
        <v>103.99</v>
      </c>
      <c r="I258" s="2">
        <v>292473</v>
      </c>
      <c r="J258" s="2">
        <v>118272</v>
      </c>
      <c r="K258" s="2">
        <v>928</v>
      </c>
      <c r="L258" s="2">
        <v>656</v>
      </c>
      <c r="M258" s="2">
        <v>0</v>
      </c>
      <c r="N258" s="2">
        <v>0</v>
      </c>
      <c r="O258" s="41">
        <v>5.54654E-3</v>
      </c>
      <c r="P258" s="6">
        <f t="shared" si="3"/>
        <v>0</v>
      </c>
      <c r="Q258" s="6">
        <v>0</v>
      </c>
      <c r="R258" s="32">
        <v>0.35555418790794363</v>
      </c>
      <c r="S258" s="7">
        <v>3.1729424596458476E-3</v>
      </c>
      <c r="T258" s="7">
        <v>7.846320346320346E-3</v>
      </c>
      <c r="U258" t="s">
        <v>73</v>
      </c>
    </row>
    <row r="259" spans="1:21" ht="15.75" customHeight="1" x14ac:dyDescent="0.25">
      <c r="A259" t="s">
        <v>35</v>
      </c>
      <c r="B259" t="s">
        <v>56</v>
      </c>
      <c r="C259" t="s">
        <v>15</v>
      </c>
      <c r="D259" t="s">
        <v>67</v>
      </c>
      <c r="E259" t="s">
        <v>20</v>
      </c>
      <c r="F259" t="s">
        <v>17</v>
      </c>
      <c r="G259" t="s">
        <v>33</v>
      </c>
      <c r="H259" s="1">
        <v>82.8</v>
      </c>
      <c r="I259" s="2">
        <v>122112</v>
      </c>
      <c r="J259" s="2">
        <v>69058</v>
      </c>
      <c r="K259" s="2">
        <v>638</v>
      </c>
      <c r="L259" s="2">
        <v>43476</v>
      </c>
      <c r="M259" s="2">
        <v>42935</v>
      </c>
      <c r="N259" s="2">
        <v>249</v>
      </c>
      <c r="O259" s="41">
        <v>0.62955775999999997</v>
      </c>
      <c r="P259" s="6">
        <f t="shared" ref="P259:P322" si="4">M259/I259</f>
        <v>0.35160344601677151</v>
      </c>
      <c r="Q259" s="6">
        <v>0.35160344601677151</v>
      </c>
      <c r="R259" s="32">
        <v>0.67806603773584906</v>
      </c>
      <c r="S259" s="7">
        <v>5.2247117400419287E-3</v>
      </c>
      <c r="T259" s="7">
        <v>9.2386110226186681E-3</v>
      </c>
      <c r="U259" t="s">
        <v>73</v>
      </c>
    </row>
    <row r="260" spans="1:21" ht="15.75" customHeight="1" x14ac:dyDescent="0.25">
      <c r="A260" t="s">
        <v>35</v>
      </c>
      <c r="B260" t="s">
        <v>56</v>
      </c>
      <c r="C260" t="s">
        <v>15</v>
      </c>
      <c r="D260" t="s">
        <v>67</v>
      </c>
      <c r="E260" t="s">
        <v>20</v>
      </c>
      <c r="F260" t="s">
        <v>17</v>
      </c>
      <c r="G260" t="s">
        <v>34</v>
      </c>
      <c r="H260" s="1">
        <v>82.04</v>
      </c>
      <c r="I260" s="2">
        <v>248920</v>
      </c>
      <c r="J260" s="2">
        <v>109983</v>
      </c>
      <c r="K260" s="2">
        <v>716</v>
      </c>
      <c r="L260" s="2">
        <v>8140</v>
      </c>
      <c r="M260" s="2">
        <v>8081</v>
      </c>
      <c r="N260" s="2">
        <v>355</v>
      </c>
      <c r="O260" s="41">
        <v>7.4011439999999998E-2</v>
      </c>
      <c r="P260" s="6">
        <f t="shared" si="4"/>
        <v>3.246424554073598E-2</v>
      </c>
      <c r="Q260" s="6">
        <v>3.246424554073598E-2</v>
      </c>
      <c r="R260" s="32">
        <v>0.32958380202474696</v>
      </c>
      <c r="S260" s="7">
        <v>2.8764261610155872E-3</v>
      </c>
      <c r="T260" s="7">
        <v>6.5100970149932274E-3</v>
      </c>
      <c r="U260" t="s">
        <v>73</v>
      </c>
    </row>
    <row r="261" spans="1:21" ht="15.75" customHeight="1" x14ac:dyDescent="0.25">
      <c r="A261" t="s">
        <v>35</v>
      </c>
      <c r="B261" t="s">
        <v>56</v>
      </c>
      <c r="C261" t="s">
        <v>15</v>
      </c>
      <c r="D261" t="s">
        <v>67</v>
      </c>
      <c r="E261" t="s">
        <v>16</v>
      </c>
      <c r="F261" t="s">
        <v>17</v>
      </c>
      <c r="G261" t="s">
        <v>34</v>
      </c>
      <c r="H261" s="1">
        <v>60.33</v>
      </c>
      <c r="I261" s="2">
        <v>169566</v>
      </c>
      <c r="J261" s="2">
        <v>92606</v>
      </c>
      <c r="K261" s="2">
        <v>657</v>
      </c>
      <c r="L261" s="2">
        <v>9488</v>
      </c>
      <c r="M261" s="2">
        <v>9248</v>
      </c>
      <c r="N261" s="2">
        <v>241</v>
      </c>
      <c r="O261" s="41">
        <v>0.10245556</v>
      </c>
      <c r="P261" s="6">
        <f t="shared" si="4"/>
        <v>5.4539235459938905E-2</v>
      </c>
      <c r="Q261" s="6">
        <v>5.4539235459938905E-2</v>
      </c>
      <c r="R261" s="32">
        <v>0.35579066558154349</v>
      </c>
      <c r="S261" s="7">
        <v>3.8745975018576839E-3</v>
      </c>
      <c r="T261" s="7">
        <v>7.0945727058721901E-3</v>
      </c>
      <c r="U261" t="s">
        <v>73</v>
      </c>
    </row>
    <row r="262" spans="1:21" ht="15.75" customHeight="1" x14ac:dyDescent="0.25">
      <c r="A262" t="s">
        <v>35</v>
      </c>
      <c r="B262" t="s">
        <v>56</v>
      </c>
      <c r="C262" t="s">
        <v>15</v>
      </c>
      <c r="D262" t="s">
        <v>67</v>
      </c>
      <c r="E262" t="s">
        <v>16</v>
      </c>
      <c r="F262" t="s">
        <v>17</v>
      </c>
      <c r="G262" t="s">
        <v>34</v>
      </c>
      <c r="H262" s="1">
        <v>50</v>
      </c>
      <c r="I262" s="2">
        <v>151813</v>
      </c>
      <c r="J262" s="2">
        <v>69550</v>
      </c>
      <c r="K262" s="2">
        <v>668</v>
      </c>
      <c r="L262" s="2">
        <v>7851</v>
      </c>
      <c r="M262" s="2">
        <v>7714</v>
      </c>
      <c r="N262" s="2">
        <v>223</v>
      </c>
      <c r="O262" s="41">
        <v>0.11288281999999999</v>
      </c>
      <c r="P262" s="6">
        <f t="shared" si="4"/>
        <v>5.0812512762411652E-2</v>
      </c>
      <c r="Q262" s="6">
        <v>5.0812512762411652E-2</v>
      </c>
      <c r="R262" s="32">
        <v>0.32935255874002883</v>
      </c>
      <c r="S262" s="7">
        <v>4.4001501847667854E-3</v>
      </c>
      <c r="T262" s="7">
        <v>9.6046010064701655E-3</v>
      </c>
      <c r="U262" t="s">
        <v>73</v>
      </c>
    </row>
    <row r="263" spans="1:21" ht="15.75" customHeight="1" x14ac:dyDescent="0.25">
      <c r="A263" t="s">
        <v>35</v>
      </c>
      <c r="B263" t="s">
        <v>56</v>
      </c>
      <c r="C263" t="s">
        <v>15</v>
      </c>
      <c r="D263" t="s">
        <v>67</v>
      </c>
      <c r="E263" t="s">
        <v>16</v>
      </c>
      <c r="F263" t="s">
        <v>17</v>
      </c>
      <c r="G263" t="s">
        <v>34</v>
      </c>
      <c r="H263" s="1">
        <v>45.33</v>
      </c>
      <c r="I263" s="2">
        <v>72489</v>
      </c>
      <c r="J263" s="2">
        <v>34840</v>
      </c>
      <c r="K263" s="2">
        <v>463</v>
      </c>
      <c r="L263" s="2">
        <v>19008</v>
      </c>
      <c r="M263" s="2">
        <v>18692</v>
      </c>
      <c r="N263" s="2">
        <v>362</v>
      </c>
      <c r="O263" s="41">
        <v>0.54557979000000001</v>
      </c>
      <c r="P263" s="6">
        <f t="shared" si="4"/>
        <v>0.25785981321303925</v>
      </c>
      <c r="Q263" s="6">
        <v>0.25785981321303925</v>
      </c>
      <c r="R263" s="32">
        <v>0.62533625791499392</v>
      </c>
      <c r="S263" s="7">
        <v>6.387175985321911E-3</v>
      </c>
      <c r="T263" s="7">
        <v>1.3289322617680829E-2</v>
      </c>
      <c r="U263" t="s">
        <v>73</v>
      </c>
    </row>
    <row r="264" spans="1:21" ht="15.75" customHeight="1" x14ac:dyDescent="0.25">
      <c r="A264" t="s">
        <v>35</v>
      </c>
      <c r="B264" t="s">
        <v>56</v>
      </c>
      <c r="C264" t="s">
        <v>15</v>
      </c>
      <c r="D264" t="s">
        <v>67</v>
      </c>
      <c r="E264" t="s">
        <v>20</v>
      </c>
      <c r="F264" t="s">
        <v>17</v>
      </c>
      <c r="G264" t="s">
        <v>33</v>
      </c>
      <c r="H264" s="1">
        <v>42.56</v>
      </c>
      <c r="I264" s="2">
        <v>129422</v>
      </c>
      <c r="J264" s="2">
        <v>62751</v>
      </c>
      <c r="K264" s="2">
        <v>347</v>
      </c>
      <c r="L264" s="2">
        <v>5382</v>
      </c>
      <c r="M264" s="2">
        <v>5325</v>
      </c>
      <c r="N264" s="2">
        <v>200</v>
      </c>
      <c r="O264" s="41">
        <v>8.5767560000000007E-2</v>
      </c>
      <c r="P264" s="6">
        <f t="shared" si="4"/>
        <v>4.114447311894423E-2</v>
      </c>
      <c r="Q264" s="6">
        <v>4.114447311894423E-2</v>
      </c>
      <c r="R264" s="32">
        <v>0.32884671848681063</v>
      </c>
      <c r="S264" s="7">
        <v>2.6811515816476334E-3</v>
      </c>
      <c r="T264" s="7">
        <v>5.5297923539067107E-3</v>
      </c>
      <c r="U264" t="s">
        <v>73</v>
      </c>
    </row>
    <row r="265" spans="1:21" ht="15.75" customHeight="1" x14ac:dyDescent="0.25">
      <c r="A265" t="s">
        <v>35</v>
      </c>
      <c r="B265" t="s">
        <v>56</v>
      </c>
      <c r="C265" t="s">
        <v>15</v>
      </c>
      <c r="D265" t="s">
        <v>67</v>
      </c>
      <c r="E265" t="s">
        <v>16</v>
      </c>
      <c r="F265" t="s">
        <v>17</v>
      </c>
      <c r="G265" t="s">
        <v>33</v>
      </c>
      <c r="H265" s="1">
        <v>41.75</v>
      </c>
      <c r="I265" s="2">
        <v>124241</v>
      </c>
      <c r="J265" s="2">
        <v>52349</v>
      </c>
      <c r="K265" s="2">
        <v>318</v>
      </c>
      <c r="L265" s="2">
        <v>6445</v>
      </c>
      <c r="M265" s="2">
        <v>6374</v>
      </c>
      <c r="N265" s="2">
        <v>183</v>
      </c>
      <c r="O265" s="41">
        <v>0.12311601</v>
      </c>
      <c r="P265" s="6">
        <f t="shared" si="4"/>
        <v>5.1303514942732269E-2</v>
      </c>
      <c r="Q265" s="6">
        <v>5.1303514942732269E-2</v>
      </c>
      <c r="R265" s="32">
        <v>0.33604043753672297</v>
      </c>
      <c r="S265" s="7">
        <v>2.559541536207854E-3</v>
      </c>
      <c r="T265" s="7">
        <v>6.0746146058186399E-3</v>
      </c>
      <c r="U265" t="s">
        <v>73</v>
      </c>
    </row>
    <row r="266" spans="1:21" ht="15.75" customHeight="1" x14ac:dyDescent="0.25">
      <c r="A266" t="s">
        <v>35</v>
      </c>
      <c r="B266" t="s">
        <v>56</v>
      </c>
      <c r="C266" t="s">
        <v>15</v>
      </c>
      <c r="D266" t="s">
        <v>67</v>
      </c>
      <c r="E266" t="s">
        <v>20</v>
      </c>
      <c r="F266" t="s">
        <v>17</v>
      </c>
      <c r="G266" t="s">
        <v>34</v>
      </c>
      <c r="H266" s="1">
        <v>41.35</v>
      </c>
      <c r="I266" s="2">
        <v>124219</v>
      </c>
      <c r="J266" s="2">
        <v>43942</v>
      </c>
      <c r="K266" s="2">
        <v>290</v>
      </c>
      <c r="L266" s="2">
        <v>2394</v>
      </c>
      <c r="M266" s="2">
        <v>2324</v>
      </c>
      <c r="N266" s="2">
        <v>2133</v>
      </c>
      <c r="O266" s="41">
        <v>5.448091E-2</v>
      </c>
      <c r="P266" s="6">
        <f t="shared" si="4"/>
        <v>1.8708893164491744E-2</v>
      </c>
      <c r="Q266" s="6">
        <v>1.8708893164491744E-2</v>
      </c>
      <c r="R266" s="32">
        <v>0.33287983319782</v>
      </c>
      <c r="S266" s="7">
        <v>2.3345864964296925E-3</v>
      </c>
      <c r="T266" s="7">
        <v>6.5996085749396929E-3</v>
      </c>
      <c r="U266" t="s">
        <v>73</v>
      </c>
    </row>
    <row r="267" spans="1:21" ht="15.75" customHeight="1" x14ac:dyDescent="0.25">
      <c r="A267" t="s">
        <v>35</v>
      </c>
      <c r="B267" t="s">
        <v>56</v>
      </c>
      <c r="C267" t="s">
        <v>15</v>
      </c>
      <c r="D267" t="s">
        <v>67</v>
      </c>
      <c r="E267" t="s">
        <v>20</v>
      </c>
      <c r="F267" t="s">
        <v>17</v>
      </c>
      <c r="G267" t="s">
        <v>18</v>
      </c>
      <c r="H267" s="1">
        <v>40.26</v>
      </c>
      <c r="I267" s="2">
        <v>128655</v>
      </c>
      <c r="J267" s="2">
        <v>83839</v>
      </c>
      <c r="K267" s="2">
        <v>109</v>
      </c>
      <c r="L267" s="2">
        <v>8014</v>
      </c>
      <c r="M267" s="2">
        <v>7910</v>
      </c>
      <c r="N267" s="2">
        <v>147</v>
      </c>
      <c r="O267" s="41">
        <v>9.5587969999999994E-2</v>
      </c>
      <c r="P267" s="6">
        <f t="shared" si="4"/>
        <v>6.1482258754032099E-2</v>
      </c>
      <c r="Q267" s="6">
        <v>6.1482258754032099E-2</v>
      </c>
      <c r="R267" s="32">
        <v>0.31292992887956156</v>
      </c>
      <c r="S267" s="7">
        <v>8.4722708017566362E-4</v>
      </c>
      <c r="T267" s="7">
        <v>1.300110926895598E-3</v>
      </c>
      <c r="U267" t="s">
        <v>73</v>
      </c>
    </row>
    <row r="268" spans="1:21" ht="15.75" customHeight="1" x14ac:dyDescent="0.25">
      <c r="A268" t="s">
        <v>35</v>
      </c>
      <c r="B268" t="s">
        <v>56</v>
      </c>
      <c r="C268" t="s">
        <v>15</v>
      </c>
      <c r="D268" t="s">
        <v>67</v>
      </c>
      <c r="E268" t="s">
        <v>20</v>
      </c>
      <c r="F268" t="s">
        <v>17</v>
      </c>
      <c r="G268" t="s">
        <v>18</v>
      </c>
      <c r="H268" s="1">
        <v>38.4</v>
      </c>
      <c r="I268" s="2">
        <v>121193</v>
      </c>
      <c r="J268" s="2">
        <v>76368</v>
      </c>
      <c r="K268" s="2">
        <v>100</v>
      </c>
      <c r="L268" s="2">
        <v>8657</v>
      </c>
      <c r="M268" s="2">
        <v>8582</v>
      </c>
      <c r="N268" s="2">
        <v>259</v>
      </c>
      <c r="O268" s="41">
        <v>0.113359</v>
      </c>
      <c r="P268" s="6">
        <f t="shared" si="4"/>
        <v>7.0812670698802732E-2</v>
      </c>
      <c r="Q268" s="6">
        <v>7.0812670698802732E-2</v>
      </c>
      <c r="R268" s="32">
        <v>0.31684998308483159</v>
      </c>
      <c r="S268" s="7">
        <v>8.2513016428341574E-4</v>
      </c>
      <c r="T268" s="7">
        <v>1.309448983867588E-3</v>
      </c>
      <c r="U268" t="s">
        <v>73</v>
      </c>
    </row>
    <row r="269" spans="1:21" ht="15.75" customHeight="1" x14ac:dyDescent="0.25">
      <c r="A269" t="s">
        <v>35</v>
      </c>
      <c r="B269" t="s">
        <v>56</v>
      </c>
      <c r="C269" t="s">
        <v>15</v>
      </c>
      <c r="D269" t="s">
        <v>67</v>
      </c>
      <c r="E269" t="s">
        <v>16</v>
      </c>
      <c r="F269" t="s">
        <v>17</v>
      </c>
      <c r="G269" t="s">
        <v>33</v>
      </c>
      <c r="H269" s="1">
        <v>34.35</v>
      </c>
      <c r="I269" s="2">
        <v>59064</v>
      </c>
      <c r="J269" s="2">
        <v>21276</v>
      </c>
      <c r="K269" s="2">
        <v>178</v>
      </c>
      <c r="L269" s="2">
        <v>12499</v>
      </c>
      <c r="M269" s="2">
        <v>12352</v>
      </c>
      <c r="N269" s="2">
        <v>82</v>
      </c>
      <c r="O269" s="41">
        <v>0.58746944999999995</v>
      </c>
      <c r="P269" s="6">
        <f t="shared" si="4"/>
        <v>0.20912908031965327</v>
      </c>
      <c r="Q269" s="6">
        <v>0.20912908031965327</v>
      </c>
      <c r="R269" s="32">
        <v>0.58157253149126364</v>
      </c>
      <c r="S269" s="7">
        <v>3.0136800758499257E-3</v>
      </c>
      <c r="T269" s="7">
        <v>8.3662342545591274E-3</v>
      </c>
      <c r="U269" t="s">
        <v>73</v>
      </c>
    </row>
    <row r="270" spans="1:21" ht="15.75" customHeight="1" x14ac:dyDescent="0.25">
      <c r="A270" t="s">
        <v>35</v>
      </c>
      <c r="B270" t="s">
        <v>56</v>
      </c>
      <c r="C270" t="s">
        <v>15</v>
      </c>
      <c r="D270" t="s">
        <v>67</v>
      </c>
      <c r="E270" t="s">
        <v>16</v>
      </c>
      <c r="F270" t="s">
        <v>17</v>
      </c>
      <c r="G270" t="s">
        <v>34</v>
      </c>
      <c r="H270" s="1">
        <v>33.08</v>
      </c>
      <c r="I270" s="2">
        <v>101052</v>
      </c>
      <c r="J270" s="2">
        <v>53006</v>
      </c>
      <c r="K270" s="2">
        <v>209</v>
      </c>
      <c r="L270" s="2">
        <v>2188</v>
      </c>
      <c r="M270" s="2">
        <v>2129</v>
      </c>
      <c r="N270" s="2">
        <v>1836</v>
      </c>
      <c r="O270" s="41">
        <v>4.1278349999999998E-2</v>
      </c>
      <c r="P270" s="6">
        <f t="shared" si="4"/>
        <v>2.1068360843921941E-2</v>
      </c>
      <c r="Q270" s="6">
        <v>2.1068360843921941E-2</v>
      </c>
      <c r="R270" s="32">
        <v>0.32735621264299564</v>
      </c>
      <c r="S270" s="7">
        <v>2.0682420931797492E-3</v>
      </c>
      <c r="T270" s="7">
        <v>3.9429498547334267E-3</v>
      </c>
      <c r="U270" t="s">
        <v>73</v>
      </c>
    </row>
    <row r="271" spans="1:21" ht="15.75" customHeight="1" x14ac:dyDescent="0.25">
      <c r="A271" t="s">
        <v>35</v>
      </c>
      <c r="B271" t="s">
        <v>56</v>
      </c>
      <c r="C271" t="s">
        <v>15</v>
      </c>
      <c r="D271" t="s">
        <v>67</v>
      </c>
      <c r="E271" t="s">
        <v>16</v>
      </c>
      <c r="F271" t="s">
        <v>41</v>
      </c>
      <c r="G271" t="s">
        <v>34</v>
      </c>
      <c r="H271" s="1">
        <v>31.65</v>
      </c>
      <c r="I271" s="2">
        <v>76392</v>
      </c>
      <c r="J271" s="2">
        <v>50753</v>
      </c>
      <c r="K271" s="2">
        <v>118</v>
      </c>
      <c r="L271" s="2">
        <v>3350</v>
      </c>
      <c r="M271" s="2">
        <v>3291</v>
      </c>
      <c r="N271" s="2">
        <v>3489</v>
      </c>
      <c r="O271" s="41">
        <v>6.6005949999999994E-2</v>
      </c>
      <c r="P271" s="6">
        <f t="shared" si="4"/>
        <v>4.3080427269871192E-2</v>
      </c>
      <c r="Q271" s="6">
        <v>4.3080427269871192E-2</v>
      </c>
      <c r="R271" s="32">
        <v>0.4143103989946591</v>
      </c>
      <c r="S271" s="7">
        <v>1.5446643627604986E-3</v>
      </c>
      <c r="T271" s="7">
        <v>2.3249857151301399E-3</v>
      </c>
      <c r="U271" t="s">
        <v>73</v>
      </c>
    </row>
    <row r="272" spans="1:21" ht="15.75" customHeight="1" x14ac:dyDescent="0.25">
      <c r="A272" t="s">
        <v>35</v>
      </c>
      <c r="B272" t="s">
        <v>56</v>
      </c>
      <c r="C272" t="s">
        <v>15</v>
      </c>
      <c r="D272" t="s">
        <v>67</v>
      </c>
      <c r="E272" t="s">
        <v>16</v>
      </c>
      <c r="F272" t="s">
        <v>17</v>
      </c>
      <c r="G272" t="s">
        <v>33</v>
      </c>
      <c r="H272" s="1">
        <v>22</v>
      </c>
      <c r="I272" s="2">
        <v>63700</v>
      </c>
      <c r="J272" s="2">
        <v>35120</v>
      </c>
      <c r="K272" s="2">
        <v>173</v>
      </c>
      <c r="L272" s="2">
        <v>3669</v>
      </c>
      <c r="M272" s="2">
        <v>3610</v>
      </c>
      <c r="N272" s="2">
        <v>163</v>
      </c>
      <c r="O272" s="41">
        <v>0.10447039</v>
      </c>
      <c r="P272" s="6">
        <f t="shared" si="4"/>
        <v>5.6671899529042384E-2</v>
      </c>
      <c r="Q272" s="6">
        <v>5.6671899529042384E-2</v>
      </c>
      <c r="R272" s="32">
        <v>0.34536891679748821</v>
      </c>
      <c r="S272" s="7">
        <v>2.71585557299843E-3</v>
      </c>
      <c r="T272" s="7">
        <v>4.9259681093394084E-3</v>
      </c>
      <c r="U272" t="s">
        <v>73</v>
      </c>
    </row>
    <row r="273" spans="1:21" ht="15.75" customHeight="1" x14ac:dyDescent="0.25">
      <c r="A273" t="s">
        <v>35</v>
      </c>
      <c r="B273" t="s">
        <v>56</v>
      </c>
      <c r="C273" t="s">
        <v>15</v>
      </c>
      <c r="D273" t="s">
        <v>67</v>
      </c>
      <c r="E273" t="s">
        <v>20</v>
      </c>
      <c r="F273" t="s">
        <v>40</v>
      </c>
      <c r="G273" t="s">
        <v>34</v>
      </c>
      <c r="H273" s="1">
        <v>21.93</v>
      </c>
      <c r="I273" s="2">
        <v>66661</v>
      </c>
      <c r="J273" s="2">
        <v>37209</v>
      </c>
      <c r="K273" s="2">
        <v>168</v>
      </c>
      <c r="L273" s="2">
        <v>104</v>
      </c>
      <c r="M273" s="2">
        <v>0</v>
      </c>
      <c r="N273" s="2">
        <v>0</v>
      </c>
      <c r="O273" s="41">
        <v>2.7950200000000001E-3</v>
      </c>
      <c r="P273" s="6">
        <f t="shared" si="4"/>
        <v>0</v>
      </c>
      <c r="Q273" s="6">
        <v>0</v>
      </c>
      <c r="R273" s="32">
        <v>0.32897796312686578</v>
      </c>
      <c r="S273" s="7">
        <v>2.5202142182085478E-3</v>
      </c>
      <c r="T273" s="7">
        <v>4.5150366846730631E-3</v>
      </c>
      <c r="U273" t="s">
        <v>73</v>
      </c>
    </row>
    <row r="274" spans="1:21" ht="15.75" customHeight="1" x14ac:dyDescent="0.25">
      <c r="A274" t="s">
        <v>35</v>
      </c>
      <c r="B274" t="s">
        <v>56</v>
      </c>
      <c r="C274" t="s">
        <v>15</v>
      </c>
      <c r="D274" t="s">
        <v>67</v>
      </c>
      <c r="E274" t="s">
        <v>20</v>
      </c>
      <c r="F274" t="s">
        <v>40</v>
      </c>
      <c r="G274" t="s">
        <v>34</v>
      </c>
      <c r="H274" s="1">
        <v>20.86</v>
      </c>
      <c r="I274" s="2">
        <v>57765</v>
      </c>
      <c r="J274" s="2">
        <v>30784</v>
      </c>
      <c r="K274" s="2">
        <v>128</v>
      </c>
      <c r="L274" s="2">
        <v>76</v>
      </c>
      <c r="M274" s="2">
        <v>0</v>
      </c>
      <c r="N274" s="2">
        <v>0</v>
      </c>
      <c r="O274" s="41">
        <v>2.4688100000000001E-3</v>
      </c>
      <c r="P274" s="6">
        <f t="shared" si="4"/>
        <v>0</v>
      </c>
      <c r="Q274" s="6">
        <v>0</v>
      </c>
      <c r="R274" s="32">
        <v>0.36111832424478491</v>
      </c>
      <c r="S274" s="7">
        <v>2.2158746645892843E-3</v>
      </c>
      <c r="T274" s="7">
        <v>4.1580041580041582E-3</v>
      </c>
      <c r="U274" t="s">
        <v>73</v>
      </c>
    </row>
    <row r="275" spans="1:21" ht="15.75" customHeight="1" x14ac:dyDescent="0.25">
      <c r="A275" t="s">
        <v>35</v>
      </c>
      <c r="B275" t="s">
        <v>56</v>
      </c>
      <c r="C275" t="s">
        <v>15</v>
      </c>
      <c r="D275" t="s">
        <v>67</v>
      </c>
      <c r="E275" t="s">
        <v>20</v>
      </c>
      <c r="F275" t="s">
        <v>17</v>
      </c>
      <c r="G275" t="s">
        <v>34</v>
      </c>
      <c r="H275" s="1">
        <v>13.74</v>
      </c>
      <c r="I275" s="2">
        <v>16294</v>
      </c>
      <c r="J275" s="2">
        <v>11776</v>
      </c>
      <c r="K275" s="2">
        <v>168</v>
      </c>
      <c r="L275" s="2">
        <v>7680</v>
      </c>
      <c r="M275" s="2">
        <v>7518</v>
      </c>
      <c r="N275" s="2">
        <v>27</v>
      </c>
      <c r="O275" s="41">
        <v>0.65217391000000002</v>
      </c>
      <c r="P275" s="6">
        <f t="shared" si="4"/>
        <v>0.46139683319013136</v>
      </c>
      <c r="Q275" s="6">
        <v>0.46139683319013136</v>
      </c>
      <c r="R275" s="32">
        <v>0.84325518595802129</v>
      </c>
      <c r="S275" s="7">
        <v>1.0310543758438689E-2</v>
      </c>
      <c r="T275" s="7">
        <v>1.426630434782609E-2</v>
      </c>
      <c r="U275" t="s">
        <v>73</v>
      </c>
    </row>
    <row r="276" spans="1:21" ht="15.75" customHeight="1" x14ac:dyDescent="0.25">
      <c r="A276" t="s">
        <v>35</v>
      </c>
      <c r="B276" t="s">
        <v>56</v>
      </c>
      <c r="C276" t="s">
        <v>15</v>
      </c>
      <c r="D276" t="s">
        <v>67</v>
      </c>
      <c r="E276" t="s">
        <v>16</v>
      </c>
      <c r="F276" t="s">
        <v>17</v>
      </c>
      <c r="G276" t="s">
        <v>18</v>
      </c>
      <c r="H276" s="1">
        <v>13.73</v>
      </c>
      <c r="I276" s="2">
        <v>43771</v>
      </c>
      <c r="J276" s="2">
        <v>30575</v>
      </c>
      <c r="K276" s="2">
        <v>28</v>
      </c>
      <c r="L276" s="2">
        <v>2830</v>
      </c>
      <c r="M276" s="2">
        <v>2805</v>
      </c>
      <c r="N276" s="2">
        <v>40</v>
      </c>
      <c r="O276" s="41">
        <v>9.2559279999999994E-2</v>
      </c>
      <c r="P276" s="6">
        <f t="shared" si="4"/>
        <v>6.4083525621987159E-2</v>
      </c>
      <c r="Q276" s="6">
        <v>6.4083525621987159E-2</v>
      </c>
      <c r="R276" s="32">
        <v>0.31367800598569828</v>
      </c>
      <c r="S276" s="7">
        <v>6.3969294738525507E-4</v>
      </c>
      <c r="T276" s="7">
        <v>9.157808667211774E-4</v>
      </c>
      <c r="U276" t="s">
        <v>73</v>
      </c>
    </row>
    <row r="277" spans="1:21" ht="15.75" customHeight="1" x14ac:dyDescent="0.25">
      <c r="A277" t="s">
        <v>35</v>
      </c>
      <c r="B277" t="s">
        <v>56</v>
      </c>
      <c r="C277" t="s">
        <v>15</v>
      </c>
      <c r="D277" t="s">
        <v>67</v>
      </c>
      <c r="E277" t="s">
        <v>20</v>
      </c>
      <c r="F277" t="s">
        <v>17</v>
      </c>
      <c r="G277" t="s">
        <v>18</v>
      </c>
      <c r="H277" s="1">
        <v>10.77</v>
      </c>
      <c r="I277" s="2">
        <v>34165</v>
      </c>
      <c r="J277" s="2">
        <v>22416</v>
      </c>
      <c r="K277" s="2">
        <v>17</v>
      </c>
      <c r="L277" s="2">
        <v>1316</v>
      </c>
      <c r="M277" s="2">
        <v>1298</v>
      </c>
      <c r="N277" s="2">
        <v>16</v>
      </c>
      <c r="O277" s="41">
        <v>5.8708070000000001E-2</v>
      </c>
      <c r="P277" s="6">
        <f t="shared" si="4"/>
        <v>3.7992097175471973E-2</v>
      </c>
      <c r="Q277" s="6">
        <v>3.7992097175471973E-2</v>
      </c>
      <c r="R277" s="32">
        <v>0.31523488950680517</v>
      </c>
      <c r="S277" s="7">
        <v>4.9758524806088101E-4</v>
      </c>
      <c r="T277" s="7">
        <v>7.5838686652391154E-4</v>
      </c>
      <c r="U277" t="s">
        <v>73</v>
      </c>
    </row>
    <row r="278" spans="1:21" ht="15.75" customHeight="1" x14ac:dyDescent="0.25">
      <c r="A278" t="s">
        <v>35</v>
      </c>
      <c r="B278" t="s">
        <v>56</v>
      </c>
      <c r="C278" t="s">
        <v>15</v>
      </c>
      <c r="D278" t="s">
        <v>67</v>
      </c>
      <c r="E278" t="s">
        <v>20</v>
      </c>
      <c r="F278" t="s">
        <v>35</v>
      </c>
      <c r="G278" t="s">
        <v>34</v>
      </c>
      <c r="H278" s="1">
        <v>8.14</v>
      </c>
      <c r="I278" s="2">
        <v>21731</v>
      </c>
      <c r="J278" s="2">
        <v>14640</v>
      </c>
      <c r="K278" s="2">
        <v>33</v>
      </c>
      <c r="L278" s="2">
        <v>989</v>
      </c>
      <c r="M278" s="2">
        <v>976</v>
      </c>
      <c r="N278" s="2">
        <v>1014</v>
      </c>
      <c r="O278" s="41">
        <v>6.7554639999999999E-2</v>
      </c>
      <c r="P278" s="6">
        <f t="shared" si="4"/>
        <v>4.4912797386222447E-2</v>
      </c>
      <c r="Q278" s="6">
        <v>4.4912797386222447E-2</v>
      </c>
      <c r="R278" s="32">
        <v>0.37458009295476508</v>
      </c>
      <c r="S278" s="7">
        <v>1.5185679444112098E-3</v>
      </c>
      <c r="T278" s="7">
        <v>2.2540983606557379E-3</v>
      </c>
      <c r="U278" t="s">
        <v>73</v>
      </c>
    </row>
    <row r="279" spans="1:21" ht="15.75" customHeight="1" x14ac:dyDescent="0.25">
      <c r="A279" t="s">
        <v>35</v>
      </c>
      <c r="B279" t="s">
        <v>56</v>
      </c>
      <c r="C279" t="s">
        <v>15</v>
      </c>
      <c r="D279" t="s">
        <v>67</v>
      </c>
      <c r="E279" t="s">
        <v>16</v>
      </c>
      <c r="F279" t="s">
        <v>17</v>
      </c>
      <c r="G279" t="s">
        <v>18</v>
      </c>
      <c r="H279" s="1">
        <v>7.71</v>
      </c>
      <c r="I279" s="2">
        <v>24638</v>
      </c>
      <c r="J279" s="2">
        <v>18572</v>
      </c>
      <c r="K279" s="2">
        <v>14</v>
      </c>
      <c r="L279" s="2">
        <v>1266</v>
      </c>
      <c r="M279" s="2">
        <v>1256</v>
      </c>
      <c r="N279" s="2">
        <v>17</v>
      </c>
      <c r="O279" s="41">
        <v>6.8167130000000006E-2</v>
      </c>
      <c r="P279" s="6">
        <f t="shared" si="4"/>
        <v>5.0978163811997726E-2</v>
      </c>
      <c r="Q279" s="6">
        <v>5.0978163811997726E-2</v>
      </c>
      <c r="R279" s="32">
        <v>0.31293124441918985</v>
      </c>
      <c r="S279" s="7">
        <v>5.6822794057959254E-4</v>
      </c>
      <c r="T279" s="7">
        <v>7.5382295929356019E-4</v>
      </c>
      <c r="U279" t="s">
        <v>73</v>
      </c>
    </row>
    <row r="280" spans="1:21" ht="15.75" customHeight="1" x14ac:dyDescent="0.25">
      <c r="A280" t="s">
        <v>35</v>
      </c>
      <c r="B280" t="s">
        <v>56</v>
      </c>
      <c r="C280" t="s">
        <v>15</v>
      </c>
      <c r="D280" t="s">
        <v>67</v>
      </c>
      <c r="E280" t="s">
        <v>16</v>
      </c>
      <c r="F280" t="s">
        <v>17</v>
      </c>
      <c r="G280" t="s">
        <v>18</v>
      </c>
      <c r="H280" s="1">
        <v>6.83</v>
      </c>
      <c r="I280" s="2">
        <v>21740</v>
      </c>
      <c r="J280" s="2">
        <v>15360</v>
      </c>
      <c r="K280" s="2">
        <v>19</v>
      </c>
      <c r="L280" s="2">
        <v>1744</v>
      </c>
      <c r="M280" s="2">
        <v>1729</v>
      </c>
      <c r="N280" s="2">
        <v>53</v>
      </c>
      <c r="O280" s="41">
        <v>0.11354167</v>
      </c>
      <c r="P280" s="6">
        <f t="shared" si="4"/>
        <v>7.9530818767249309E-2</v>
      </c>
      <c r="Q280" s="6">
        <v>7.9530818767249309E-2</v>
      </c>
      <c r="R280" s="32">
        <v>0.31416743330266789</v>
      </c>
      <c r="S280" s="7">
        <v>8.7396504139834405E-4</v>
      </c>
      <c r="T280" s="7">
        <v>1.236979166666667E-3</v>
      </c>
      <c r="U280" t="s">
        <v>73</v>
      </c>
    </row>
    <row r="281" spans="1:21" ht="15.75" customHeight="1" x14ac:dyDescent="0.25">
      <c r="A281" t="s">
        <v>35</v>
      </c>
      <c r="B281" t="s">
        <v>56</v>
      </c>
      <c r="C281" t="s">
        <v>15</v>
      </c>
      <c r="D281" t="s">
        <v>67</v>
      </c>
      <c r="E281" t="s">
        <v>20</v>
      </c>
      <c r="F281" t="s">
        <v>17</v>
      </c>
      <c r="G281" t="s">
        <v>33</v>
      </c>
      <c r="H281" s="1">
        <v>6.23</v>
      </c>
      <c r="I281" s="2">
        <v>10224</v>
      </c>
      <c r="J281" s="2">
        <v>5776</v>
      </c>
      <c r="K281" s="2">
        <v>41</v>
      </c>
      <c r="L281" s="2">
        <v>2934</v>
      </c>
      <c r="M281" s="2">
        <v>2900</v>
      </c>
      <c r="N281" s="2">
        <v>12</v>
      </c>
      <c r="O281" s="41">
        <v>0.50796399000000003</v>
      </c>
      <c r="P281" s="6">
        <f t="shared" si="4"/>
        <v>0.28364632237871673</v>
      </c>
      <c r="Q281" s="6">
        <v>0.28364632237871673</v>
      </c>
      <c r="R281" s="32">
        <v>0.60935054773082953</v>
      </c>
      <c r="S281" s="7">
        <v>4.0101721439749606E-3</v>
      </c>
      <c r="T281" s="7">
        <v>7.098337950138504E-3</v>
      </c>
      <c r="U281" t="s">
        <v>73</v>
      </c>
    </row>
    <row r="282" spans="1:21" ht="15.75" customHeight="1" x14ac:dyDescent="0.25">
      <c r="A282" t="s">
        <v>35</v>
      </c>
      <c r="B282" t="s">
        <v>56</v>
      </c>
      <c r="C282" t="s">
        <v>15</v>
      </c>
      <c r="D282" t="s">
        <v>67</v>
      </c>
      <c r="E282" t="s">
        <v>16</v>
      </c>
      <c r="F282" t="s">
        <v>17</v>
      </c>
      <c r="G282" t="s">
        <v>34</v>
      </c>
      <c r="H282" s="1">
        <v>4.08</v>
      </c>
      <c r="I282" s="2">
        <v>4485</v>
      </c>
      <c r="J282" s="2">
        <v>3526</v>
      </c>
      <c r="K282" s="2">
        <v>53</v>
      </c>
      <c r="L282" s="2">
        <v>2757</v>
      </c>
      <c r="M282" s="2">
        <v>2707</v>
      </c>
      <c r="N282" s="2">
        <v>3</v>
      </c>
      <c r="O282" s="41">
        <v>0.78190583999999996</v>
      </c>
      <c r="P282" s="6">
        <f t="shared" si="4"/>
        <v>0.60356744704570786</v>
      </c>
      <c r="Q282" s="6">
        <v>0.60356744704570786</v>
      </c>
      <c r="R282" s="32">
        <v>0.90969899665551845</v>
      </c>
      <c r="S282" s="7">
        <v>1.1817168338907469E-2</v>
      </c>
      <c r="T282" s="7">
        <v>1.5031196823596139E-2</v>
      </c>
      <c r="U282" t="s">
        <v>73</v>
      </c>
    </row>
    <row r="283" spans="1:21" ht="15.75" customHeight="1" x14ac:dyDescent="0.25">
      <c r="A283" t="s">
        <v>35</v>
      </c>
      <c r="B283" t="s">
        <v>56</v>
      </c>
      <c r="C283" t="s">
        <v>15</v>
      </c>
      <c r="D283" t="s">
        <v>67</v>
      </c>
      <c r="E283" t="s">
        <v>20</v>
      </c>
      <c r="F283" t="s">
        <v>17</v>
      </c>
      <c r="G283" t="s">
        <v>34</v>
      </c>
      <c r="H283" s="1">
        <v>1.21</v>
      </c>
      <c r="I283" s="2">
        <v>2550</v>
      </c>
      <c r="J283" s="2">
        <v>2114</v>
      </c>
      <c r="K283" s="2">
        <v>11</v>
      </c>
      <c r="L283" s="2">
        <v>199</v>
      </c>
      <c r="M283" s="2">
        <v>193</v>
      </c>
      <c r="N283" s="2">
        <v>168</v>
      </c>
      <c r="O283" s="41">
        <v>9.4134339999999997E-2</v>
      </c>
      <c r="P283" s="6">
        <f t="shared" si="4"/>
        <v>7.5686274509803919E-2</v>
      </c>
      <c r="Q283" s="6">
        <v>7.5686274509803919E-2</v>
      </c>
      <c r="R283" s="32">
        <v>0.47450980392156861</v>
      </c>
      <c r="S283" s="7">
        <v>4.3137254901960782E-3</v>
      </c>
      <c r="T283" s="7">
        <v>5.2034058656575217E-3</v>
      </c>
      <c r="U283" t="s">
        <v>73</v>
      </c>
    </row>
    <row r="284" spans="1:21" ht="15.75" customHeight="1" x14ac:dyDescent="0.25">
      <c r="A284" t="s">
        <v>35</v>
      </c>
      <c r="B284" t="s">
        <v>56</v>
      </c>
      <c r="C284" t="s">
        <v>15</v>
      </c>
      <c r="D284" t="s">
        <v>67</v>
      </c>
      <c r="E284" t="s">
        <v>16</v>
      </c>
      <c r="F284" t="s">
        <v>41</v>
      </c>
      <c r="G284" t="s">
        <v>18</v>
      </c>
      <c r="H284" s="1">
        <v>0.15</v>
      </c>
      <c r="I284" s="2">
        <v>546</v>
      </c>
      <c r="J284" s="2">
        <v>332</v>
      </c>
      <c r="K284" s="2">
        <v>0</v>
      </c>
      <c r="L284" s="2">
        <v>6</v>
      </c>
      <c r="M284" s="2">
        <v>6</v>
      </c>
      <c r="N284" s="2">
        <v>1</v>
      </c>
      <c r="O284" s="41">
        <v>1.8072290000000001E-2</v>
      </c>
      <c r="P284" s="6">
        <f t="shared" si="4"/>
        <v>1.098901098901099E-2</v>
      </c>
      <c r="Q284" s="6">
        <v>1.098901098901099E-2</v>
      </c>
      <c r="R284" s="32">
        <v>0.27472527472527475</v>
      </c>
      <c r="S284" s="7">
        <v>0</v>
      </c>
      <c r="T284" s="7">
        <v>0</v>
      </c>
      <c r="U284" t="s">
        <v>73</v>
      </c>
    </row>
    <row r="285" spans="1:21" ht="15.75" customHeight="1" x14ac:dyDescent="0.25">
      <c r="A285" t="s">
        <v>35</v>
      </c>
      <c r="B285" t="s">
        <v>56</v>
      </c>
      <c r="C285" t="s">
        <v>15</v>
      </c>
      <c r="D285" t="s">
        <v>67</v>
      </c>
      <c r="E285" t="s">
        <v>16</v>
      </c>
      <c r="F285" t="s">
        <v>17</v>
      </c>
      <c r="G285" t="s">
        <v>34</v>
      </c>
      <c r="H285" s="1">
        <v>0.14000000000000001</v>
      </c>
      <c r="I285" s="2">
        <v>369</v>
      </c>
      <c r="J285" s="2">
        <v>254</v>
      </c>
      <c r="K285" s="2">
        <v>1</v>
      </c>
      <c r="L285" s="2">
        <v>43</v>
      </c>
      <c r="M285" s="2">
        <v>42</v>
      </c>
      <c r="N285" s="2">
        <v>43</v>
      </c>
      <c r="O285" s="41">
        <v>0.16929134000000001</v>
      </c>
      <c r="P285" s="6">
        <f t="shared" si="4"/>
        <v>0.11382113821138211</v>
      </c>
      <c r="Q285" s="6">
        <v>0.11382113821138211</v>
      </c>
      <c r="R285" s="32">
        <v>0.37940379403794044</v>
      </c>
      <c r="S285" s="7">
        <v>2.7100271002710027E-3</v>
      </c>
      <c r="T285" s="7">
        <v>3.937007874015748E-3</v>
      </c>
      <c r="U285" t="s">
        <v>73</v>
      </c>
    </row>
    <row r="286" spans="1:21" ht="15.75" customHeight="1" x14ac:dyDescent="0.25">
      <c r="A286" t="s">
        <v>35</v>
      </c>
      <c r="B286" t="s">
        <v>56</v>
      </c>
      <c r="C286" t="s">
        <v>15</v>
      </c>
      <c r="D286" t="s">
        <v>67</v>
      </c>
      <c r="E286" t="s">
        <v>20</v>
      </c>
      <c r="F286" t="s">
        <v>41</v>
      </c>
      <c r="G286" t="s">
        <v>18</v>
      </c>
      <c r="H286" s="1">
        <v>0.11</v>
      </c>
      <c r="I286" s="2">
        <v>413</v>
      </c>
      <c r="J286" s="2">
        <v>271</v>
      </c>
      <c r="K286" s="2">
        <v>0</v>
      </c>
      <c r="L286" s="2">
        <v>2</v>
      </c>
      <c r="M286" s="2">
        <v>2</v>
      </c>
      <c r="N286" s="2">
        <v>0</v>
      </c>
      <c r="O286" s="41">
        <v>7.3800699999999999E-3</v>
      </c>
      <c r="P286" s="6">
        <f t="shared" si="4"/>
        <v>4.8426150121065378E-3</v>
      </c>
      <c r="Q286" s="6">
        <v>4.8426150121065378E-3</v>
      </c>
      <c r="R286" s="32">
        <v>0.26634382566585957</v>
      </c>
      <c r="S286" s="7">
        <v>0</v>
      </c>
      <c r="T286" s="7">
        <v>0</v>
      </c>
      <c r="U286" t="s">
        <v>73</v>
      </c>
    </row>
    <row r="287" spans="1:21" ht="15.75" customHeight="1" x14ac:dyDescent="0.25">
      <c r="A287" t="s">
        <v>35</v>
      </c>
      <c r="B287" t="s">
        <v>56</v>
      </c>
      <c r="C287" t="s">
        <v>15</v>
      </c>
      <c r="D287" t="s">
        <v>67</v>
      </c>
      <c r="E287" t="s">
        <v>16</v>
      </c>
      <c r="F287" t="s">
        <v>17</v>
      </c>
      <c r="G287" t="s">
        <v>18</v>
      </c>
      <c r="H287" s="1">
        <v>0</v>
      </c>
      <c r="I287" s="2">
        <v>2</v>
      </c>
      <c r="J287" s="2">
        <v>2</v>
      </c>
      <c r="K287" s="2">
        <v>0</v>
      </c>
      <c r="L287" s="2">
        <v>0</v>
      </c>
      <c r="M287" s="2">
        <v>0</v>
      </c>
      <c r="N287" s="2">
        <v>0</v>
      </c>
      <c r="O287" s="41">
        <v>0</v>
      </c>
      <c r="P287" s="6">
        <f t="shared" si="4"/>
        <v>0</v>
      </c>
      <c r="Q287" s="6">
        <v>0</v>
      </c>
      <c r="R287" s="32">
        <v>0</v>
      </c>
      <c r="S287" s="7">
        <v>0</v>
      </c>
      <c r="T287" s="7">
        <v>0</v>
      </c>
      <c r="U287" t="s">
        <v>73</v>
      </c>
    </row>
    <row r="288" spans="1:21" ht="15.75" customHeight="1" x14ac:dyDescent="0.25">
      <c r="A288" t="s">
        <v>35</v>
      </c>
      <c r="B288" t="s">
        <v>56</v>
      </c>
      <c r="C288" t="s">
        <v>15</v>
      </c>
      <c r="D288" t="s">
        <v>67</v>
      </c>
      <c r="E288" t="s">
        <v>16</v>
      </c>
      <c r="F288" t="s">
        <v>17</v>
      </c>
      <c r="G288" t="s">
        <v>18</v>
      </c>
      <c r="H288" s="1">
        <v>0</v>
      </c>
      <c r="I288" s="2">
        <v>3</v>
      </c>
      <c r="J288" s="2">
        <v>3</v>
      </c>
      <c r="K288" s="2">
        <v>0</v>
      </c>
      <c r="L288" s="2">
        <v>1</v>
      </c>
      <c r="M288" s="2">
        <v>1</v>
      </c>
      <c r="N288" s="2">
        <v>0</v>
      </c>
      <c r="O288" s="41">
        <v>0.33333332999999998</v>
      </c>
      <c r="P288" s="6">
        <f t="shared" si="4"/>
        <v>0.33333333333333331</v>
      </c>
      <c r="Q288" s="6">
        <v>0.33333333333333331</v>
      </c>
      <c r="R288" s="32">
        <v>0</v>
      </c>
      <c r="S288" s="7">
        <v>0</v>
      </c>
      <c r="T288" s="7">
        <v>0</v>
      </c>
      <c r="U288" t="s">
        <v>73</v>
      </c>
    </row>
    <row r="289" spans="1:21" ht="15.75" customHeight="1" x14ac:dyDescent="0.25">
      <c r="A289" t="s">
        <v>35</v>
      </c>
      <c r="B289" t="s">
        <v>56</v>
      </c>
      <c r="C289" t="s">
        <v>15</v>
      </c>
      <c r="D289" t="s">
        <v>67</v>
      </c>
      <c r="E289" t="s">
        <v>16</v>
      </c>
      <c r="F289" t="s">
        <v>17</v>
      </c>
      <c r="G289" t="s">
        <v>18</v>
      </c>
      <c r="H289" s="1">
        <v>0</v>
      </c>
      <c r="I289" s="2">
        <v>2</v>
      </c>
      <c r="J289" s="2">
        <v>2</v>
      </c>
      <c r="K289" s="2">
        <v>0</v>
      </c>
      <c r="L289" s="2">
        <v>0</v>
      </c>
      <c r="M289" s="2">
        <v>0</v>
      </c>
      <c r="N289" s="2">
        <v>0</v>
      </c>
      <c r="O289" s="41">
        <v>0</v>
      </c>
      <c r="P289" s="6">
        <f t="shared" si="4"/>
        <v>0</v>
      </c>
      <c r="Q289" s="6">
        <v>0</v>
      </c>
      <c r="R289" s="32">
        <v>0</v>
      </c>
      <c r="S289" s="7">
        <v>0</v>
      </c>
      <c r="T289" s="7">
        <v>0</v>
      </c>
      <c r="U289" t="s">
        <v>73</v>
      </c>
    </row>
    <row r="290" spans="1:21" ht="15.75" customHeight="1" x14ac:dyDescent="0.25">
      <c r="A290" t="s">
        <v>35</v>
      </c>
      <c r="B290" t="s">
        <v>56</v>
      </c>
      <c r="C290" t="s">
        <v>15</v>
      </c>
      <c r="D290" t="s">
        <v>67</v>
      </c>
      <c r="E290" t="s">
        <v>20</v>
      </c>
      <c r="F290" t="s">
        <v>17</v>
      </c>
      <c r="G290" t="s">
        <v>18</v>
      </c>
      <c r="H290" s="1">
        <v>0</v>
      </c>
      <c r="I290" s="2">
        <v>1</v>
      </c>
      <c r="J290" s="2">
        <v>1</v>
      </c>
      <c r="K290" s="2">
        <v>0</v>
      </c>
      <c r="L290" s="2">
        <v>1</v>
      </c>
      <c r="M290" s="2">
        <v>1</v>
      </c>
      <c r="N290" s="2">
        <v>0</v>
      </c>
      <c r="O290" s="41">
        <v>1</v>
      </c>
      <c r="P290" s="6">
        <f t="shared" si="4"/>
        <v>1</v>
      </c>
      <c r="Q290" s="6">
        <v>1</v>
      </c>
      <c r="R290" s="32">
        <v>0</v>
      </c>
      <c r="S290" s="7">
        <v>0</v>
      </c>
      <c r="T290" s="7">
        <v>0</v>
      </c>
      <c r="U290" t="s">
        <v>73</v>
      </c>
    </row>
    <row r="291" spans="1:21" ht="15.75" customHeight="1" x14ac:dyDescent="0.25">
      <c r="A291" t="s">
        <v>35</v>
      </c>
      <c r="B291" t="s">
        <v>56</v>
      </c>
      <c r="C291" t="s">
        <v>15</v>
      </c>
      <c r="D291" t="s">
        <v>67</v>
      </c>
      <c r="E291" t="s">
        <v>20</v>
      </c>
      <c r="F291" t="s">
        <v>17</v>
      </c>
      <c r="G291" t="s">
        <v>18</v>
      </c>
      <c r="H291" s="1">
        <v>0</v>
      </c>
      <c r="I291" s="2">
        <v>3</v>
      </c>
      <c r="J291" s="2">
        <v>3</v>
      </c>
      <c r="K291" s="2">
        <v>0</v>
      </c>
      <c r="L291" s="2">
        <v>0</v>
      </c>
      <c r="M291" s="2">
        <v>0</v>
      </c>
      <c r="N291" s="2">
        <v>0</v>
      </c>
      <c r="O291" s="41">
        <v>0</v>
      </c>
      <c r="P291" s="6">
        <f t="shared" si="4"/>
        <v>0</v>
      </c>
      <c r="Q291" s="6">
        <v>0</v>
      </c>
      <c r="R291" s="32">
        <v>0</v>
      </c>
      <c r="S291" s="7">
        <v>0</v>
      </c>
      <c r="T291" s="7">
        <v>0</v>
      </c>
      <c r="U291" t="s">
        <v>73</v>
      </c>
    </row>
    <row r="292" spans="1:21" ht="15.75" customHeight="1" x14ac:dyDescent="0.25">
      <c r="A292" t="s">
        <v>35</v>
      </c>
      <c r="B292" t="s">
        <v>56</v>
      </c>
      <c r="C292" t="s">
        <v>15</v>
      </c>
      <c r="D292" t="s">
        <v>67</v>
      </c>
      <c r="E292" t="s">
        <v>20</v>
      </c>
      <c r="F292" t="s">
        <v>17</v>
      </c>
      <c r="G292" t="s">
        <v>18</v>
      </c>
      <c r="H292" s="1">
        <v>0</v>
      </c>
      <c r="I292" s="2">
        <v>1</v>
      </c>
      <c r="J292" s="2">
        <v>1</v>
      </c>
      <c r="K292" s="2">
        <v>0</v>
      </c>
      <c r="L292" s="2">
        <v>1</v>
      </c>
      <c r="M292" s="2">
        <v>1</v>
      </c>
      <c r="N292" s="2">
        <v>0</v>
      </c>
      <c r="O292" s="41">
        <v>1</v>
      </c>
      <c r="P292" s="6">
        <f t="shared" si="4"/>
        <v>1</v>
      </c>
      <c r="Q292" s="6">
        <v>1</v>
      </c>
      <c r="R292" s="32">
        <v>0</v>
      </c>
      <c r="S292" s="7">
        <v>0</v>
      </c>
      <c r="T292" s="7">
        <v>0</v>
      </c>
      <c r="U292" t="s">
        <v>73</v>
      </c>
    </row>
    <row r="293" spans="1:21" ht="15.75" customHeight="1" x14ac:dyDescent="0.25">
      <c r="A293" t="s">
        <v>39</v>
      </c>
      <c r="B293" t="s">
        <v>60</v>
      </c>
      <c r="C293" t="s">
        <v>15</v>
      </c>
      <c r="D293" t="s">
        <v>67</v>
      </c>
      <c r="E293" t="s">
        <v>16</v>
      </c>
      <c r="F293" t="s">
        <v>17</v>
      </c>
      <c r="G293" t="s">
        <v>33</v>
      </c>
      <c r="H293" s="1">
        <v>402.21</v>
      </c>
      <c r="I293" s="2">
        <v>1038201</v>
      </c>
      <c r="J293" s="2">
        <v>279681</v>
      </c>
      <c r="K293" s="2">
        <v>4540</v>
      </c>
      <c r="L293" s="2">
        <v>154401</v>
      </c>
      <c r="M293" s="2">
        <v>151523</v>
      </c>
      <c r="N293" s="2">
        <v>2519</v>
      </c>
      <c r="O293" s="41">
        <v>0.55206109999999997</v>
      </c>
      <c r="P293" s="6">
        <f t="shared" si="4"/>
        <v>0.14594765368170518</v>
      </c>
      <c r="Q293" s="6">
        <v>0.14594765368170518</v>
      </c>
      <c r="R293" s="32">
        <v>0.38741053033083184</v>
      </c>
      <c r="S293" s="7">
        <v>4.3729489761616487E-3</v>
      </c>
      <c r="T293" s="7">
        <v>1.6232779488059609E-2</v>
      </c>
      <c r="U293" t="s">
        <v>73</v>
      </c>
    </row>
    <row r="294" spans="1:21" ht="15.75" customHeight="1" x14ac:dyDescent="0.25">
      <c r="A294" t="s">
        <v>39</v>
      </c>
      <c r="B294" t="s">
        <v>60</v>
      </c>
      <c r="C294" t="s">
        <v>15</v>
      </c>
      <c r="D294" t="s">
        <v>67</v>
      </c>
      <c r="E294" t="s">
        <v>16</v>
      </c>
      <c r="F294" t="s">
        <v>17</v>
      </c>
      <c r="G294" t="s">
        <v>33</v>
      </c>
      <c r="H294" s="1">
        <v>362.06</v>
      </c>
      <c r="I294" s="2">
        <v>992375</v>
      </c>
      <c r="J294" s="2">
        <v>270978</v>
      </c>
      <c r="K294" s="2">
        <v>5149</v>
      </c>
      <c r="L294" s="2">
        <v>134087</v>
      </c>
      <c r="M294" s="2">
        <v>130705</v>
      </c>
      <c r="N294" s="2">
        <v>4015</v>
      </c>
      <c r="O294" s="41">
        <v>0.49482615000000002</v>
      </c>
      <c r="P294" s="6">
        <f t="shared" si="4"/>
        <v>0.1317092832850485</v>
      </c>
      <c r="Q294" s="6">
        <v>0.1317092832850485</v>
      </c>
      <c r="R294" s="32">
        <v>0.36484191963723389</v>
      </c>
      <c r="S294" s="7">
        <v>5.1885627912835368E-3</v>
      </c>
      <c r="T294" s="7">
        <v>1.9001542560650678E-2</v>
      </c>
      <c r="U294" t="s">
        <v>73</v>
      </c>
    </row>
    <row r="295" spans="1:21" ht="15.75" customHeight="1" x14ac:dyDescent="0.25">
      <c r="A295" t="s">
        <v>39</v>
      </c>
      <c r="B295" t="s">
        <v>60</v>
      </c>
      <c r="C295" t="s">
        <v>15</v>
      </c>
      <c r="D295" t="s">
        <v>67</v>
      </c>
      <c r="E295" t="s">
        <v>20</v>
      </c>
      <c r="F295" t="s">
        <v>17</v>
      </c>
      <c r="G295" t="s">
        <v>33</v>
      </c>
      <c r="H295" s="1">
        <v>296.19</v>
      </c>
      <c r="I295" s="2">
        <v>799838</v>
      </c>
      <c r="J295" s="2">
        <v>213313</v>
      </c>
      <c r="K295" s="2">
        <v>3366</v>
      </c>
      <c r="L295" s="2">
        <v>111841</v>
      </c>
      <c r="M295" s="2">
        <v>109739</v>
      </c>
      <c r="N295" s="2">
        <v>3200</v>
      </c>
      <c r="O295" s="41">
        <v>0.52430465999999998</v>
      </c>
      <c r="P295" s="6">
        <f t="shared" si="4"/>
        <v>0.13720153331049537</v>
      </c>
      <c r="Q295" s="6">
        <v>0.13720153331049537</v>
      </c>
      <c r="R295" s="32">
        <v>0.37031248827887647</v>
      </c>
      <c r="S295" s="7">
        <v>4.2083521913187424E-3</v>
      </c>
      <c r="T295" s="7">
        <v>1.5779628995888671E-2</v>
      </c>
      <c r="U295" t="s">
        <v>73</v>
      </c>
    </row>
    <row r="296" spans="1:21" ht="15.75" customHeight="1" x14ac:dyDescent="0.25">
      <c r="A296" t="s">
        <v>39</v>
      </c>
      <c r="B296" t="s">
        <v>60</v>
      </c>
      <c r="C296" t="s">
        <v>15</v>
      </c>
      <c r="D296" t="s">
        <v>67</v>
      </c>
      <c r="E296" t="s">
        <v>20</v>
      </c>
      <c r="F296" t="s">
        <v>17</v>
      </c>
      <c r="G296" t="s">
        <v>33</v>
      </c>
      <c r="H296" s="1">
        <v>172.55</v>
      </c>
      <c r="I296" s="2">
        <v>866065</v>
      </c>
      <c r="J296" s="2">
        <v>244092</v>
      </c>
      <c r="K296" s="2">
        <v>3539</v>
      </c>
      <c r="L296" s="2">
        <v>44932</v>
      </c>
      <c r="M296" s="2">
        <v>44280</v>
      </c>
      <c r="N296" s="2">
        <v>1677</v>
      </c>
      <c r="O296" s="41">
        <v>0.18407813000000001</v>
      </c>
      <c r="P296" s="6">
        <f t="shared" si="4"/>
        <v>5.1127802185748181E-2</v>
      </c>
      <c r="Q296" s="6">
        <v>5.1127802185748181E-2</v>
      </c>
      <c r="R296" s="32">
        <v>0.1992344685445088</v>
      </c>
      <c r="S296" s="7">
        <v>4.0862983725240025E-3</v>
      </c>
      <c r="T296" s="7">
        <v>1.4498631663471149E-2</v>
      </c>
      <c r="U296" t="s">
        <v>73</v>
      </c>
    </row>
    <row r="297" spans="1:21" ht="15.75" customHeight="1" x14ac:dyDescent="0.25">
      <c r="A297" t="s">
        <v>39</v>
      </c>
      <c r="B297" t="s">
        <v>60</v>
      </c>
      <c r="C297" t="s">
        <v>15</v>
      </c>
      <c r="D297" t="s">
        <v>67</v>
      </c>
      <c r="E297" t="s">
        <v>16</v>
      </c>
      <c r="F297" t="s">
        <v>40</v>
      </c>
      <c r="G297" t="s">
        <v>34</v>
      </c>
      <c r="H297" s="1">
        <v>164.97</v>
      </c>
      <c r="I297" s="2">
        <v>836397</v>
      </c>
      <c r="J297" s="2">
        <v>256449</v>
      </c>
      <c r="K297" s="2">
        <v>2419</v>
      </c>
      <c r="L297" s="2">
        <v>1634</v>
      </c>
      <c r="M297" s="2">
        <v>0</v>
      </c>
      <c r="N297" s="2">
        <v>0</v>
      </c>
      <c r="O297" s="41">
        <v>6.3716399999999996E-3</v>
      </c>
      <c r="P297" s="6">
        <f t="shared" si="4"/>
        <v>0</v>
      </c>
      <c r="Q297" s="6">
        <v>0</v>
      </c>
      <c r="R297" s="32">
        <v>0.19723887101460191</v>
      </c>
      <c r="S297" s="7">
        <v>2.8921672363722011E-3</v>
      </c>
      <c r="T297" s="7">
        <v>9.4326747228493778E-3</v>
      </c>
      <c r="U297" t="s">
        <v>73</v>
      </c>
    </row>
    <row r="298" spans="1:21" ht="15.75" customHeight="1" x14ac:dyDescent="0.25">
      <c r="A298" t="s">
        <v>39</v>
      </c>
      <c r="B298" t="s">
        <v>60</v>
      </c>
      <c r="C298" t="s">
        <v>15</v>
      </c>
      <c r="D298" t="s">
        <v>67</v>
      </c>
      <c r="E298" t="s">
        <v>16</v>
      </c>
      <c r="F298" t="s">
        <v>17</v>
      </c>
      <c r="G298" t="s">
        <v>34</v>
      </c>
      <c r="H298" s="1">
        <v>118.16</v>
      </c>
      <c r="I298" s="2">
        <v>247282</v>
      </c>
      <c r="J298" s="2">
        <v>97825</v>
      </c>
      <c r="K298" s="2">
        <v>1539</v>
      </c>
      <c r="L298" s="2">
        <v>53013</v>
      </c>
      <c r="M298" s="2">
        <v>51886</v>
      </c>
      <c r="N298" s="2">
        <v>760</v>
      </c>
      <c r="O298" s="41">
        <v>0.54191668999999998</v>
      </c>
      <c r="P298" s="6">
        <f t="shared" si="4"/>
        <v>0.20982521978955201</v>
      </c>
      <c r="Q298" s="6">
        <v>0.20982521978955201</v>
      </c>
      <c r="R298" s="32">
        <v>0.47783502236313191</v>
      </c>
      <c r="S298" s="7">
        <v>6.2236636714358504E-3</v>
      </c>
      <c r="T298" s="7">
        <v>1.573217480194224E-2</v>
      </c>
      <c r="U298" t="s">
        <v>73</v>
      </c>
    </row>
    <row r="299" spans="1:21" ht="15.75" customHeight="1" x14ac:dyDescent="0.25">
      <c r="A299" t="s">
        <v>39</v>
      </c>
      <c r="B299" t="s">
        <v>60</v>
      </c>
      <c r="C299" t="s">
        <v>15</v>
      </c>
      <c r="D299" t="s">
        <v>67</v>
      </c>
      <c r="E299" t="s">
        <v>16</v>
      </c>
      <c r="F299" t="s">
        <v>17</v>
      </c>
      <c r="G299" t="s">
        <v>33</v>
      </c>
      <c r="H299" s="1">
        <v>117.88</v>
      </c>
      <c r="I299" s="2">
        <v>587830</v>
      </c>
      <c r="J299" s="2">
        <v>210494</v>
      </c>
      <c r="K299" s="2">
        <v>2151</v>
      </c>
      <c r="L299" s="2">
        <v>33061</v>
      </c>
      <c r="M299" s="2">
        <v>32287</v>
      </c>
      <c r="N299" s="2">
        <v>804</v>
      </c>
      <c r="O299" s="41">
        <v>0.15706386</v>
      </c>
      <c r="P299" s="6">
        <f t="shared" si="4"/>
        <v>5.4925743837504037E-2</v>
      </c>
      <c r="Q299" s="6">
        <v>5.4925743837504037E-2</v>
      </c>
      <c r="R299" s="32">
        <v>0.20053416804178079</v>
      </c>
      <c r="S299" s="7">
        <v>3.6592212034091487E-3</v>
      </c>
      <c r="T299" s="7">
        <v>1.021881858865336E-2</v>
      </c>
      <c r="U299" t="s">
        <v>73</v>
      </c>
    </row>
    <row r="300" spans="1:21" ht="15.75" customHeight="1" x14ac:dyDescent="0.25">
      <c r="A300" t="s">
        <v>39</v>
      </c>
      <c r="B300" t="s">
        <v>60</v>
      </c>
      <c r="C300" t="s">
        <v>15</v>
      </c>
      <c r="D300" t="s">
        <v>67</v>
      </c>
      <c r="E300" t="s">
        <v>20</v>
      </c>
      <c r="F300" t="s">
        <v>17</v>
      </c>
      <c r="G300" t="s">
        <v>34</v>
      </c>
      <c r="H300" s="1">
        <v>110.36</v>
      </c>
      <c r="I300" s="2">
        <v>557328</v>
      </c>
      <c r="J300" s="2">
        <v>210367</v>
      </c>
      <c r="K300" s="2">
        <v>2217</v>
      </c>
      <c r="L300" s="2">
        <v>23662</v>
      </c>
      <c r="M300" s="2">
        <v>23222</v>
      </c>
      <c r="N300" s="2">
        <v>824</v>
      </c>
      <c r="O300" s="41">
        <v>0.11247962</v>
      </c>
      <c r="P300" s="6">
        <f t="shared" si="4"/>
        <v>4.1666666666666664E-2</v>
      </c>
      <c r="Q300" s="6">
        <v>4.1666666666666664E-2</v>
      </c>
      <c r="R300" s="32">
        <v>0.19801624895932018</v>
      </c>
      <c r="S300" s="7">
        <v>3.9779088795108084E-3</v>
      </c>
      <c r="T300" s="7">
        <v>1.053872518028018E-2</v>
      </c>
      <c r="U300" t="s">
        <v>73</v>
      </c>
    </row>
    <row r="301" spans="1:21" ht="15.75" customHeight="1" x14ac:dyDescent="0.25">
      <c r="A301" t="s">
        <v>39</v>
      </c>
      <c r="B301" t="s">
        <v>60</v>
      </c>
      <c r="C301" t="s">
        <v>15</v>
      </c>
      <c r="D301" t="s">
        <v>67</v>
      </c>
      <c r="E301" t="s">
        <v>20</v>
      </c>
      <c r="F301" t="s">
        <v>17</v>
      </c>
      <c r="G301" t="s">
        <v>18</v>
      </c>
      <c r="H301" s="1">
        <v>78.69</v>
      </c>
      <c r="I301" s="2">
        <v>414195</v>
      </c>
      <c r="J301" s="2">
        <v>134491</v>
      </c>
      <c r="K301" s="2">
        <v>78</v>
      </c>
      <c r="L301" s="2">
        <v>12108</v>
      </c>
      <c r="M301" s="2">
        <v>11989</v>
      </c>
      <c r="N301" s="2">
        <v>109</v>
      </c>
      <c r="O301" s="41">
        <v>9.0028330000000004E-2</v>
      </c>
      <c r="P301" s="6">
        <f t="shared" si="4"/>
        <v>2.8945303540602856E-2</v>
      </c>
      <c r="Q301" s="6">
        <v>2.8945303540602856E-2</v>
      </c>
      <c r="R301" s="32">
        <v>0.18998297903161554</v>
      </c>
      <c r="S301" s="7">
        <v>1.883170970195198E-4</v>
      </c>
      <c r="T301" s="7">
        <v>5.7996445858830706E-4</v>
      </c>
      <c r="U301" t="s">
        <v>73</v>
      </c>
    </row>
    <row r="302" spans="1:21" ht="15.75" customHeight="1" x14ac:dyDescent="0.25">
      <c r="A302" t="s">
        <v>39</v>
      </c>
      <c r="B302" t="s">
        <v>60</v>
      </c>
      <c r="C302" t="s">
        <v>15</v>
      </c>
      <c r="D302" t="s">
        <v>67</v>
      </c>
      <c r="E302" t="s">
        <v>16</v>
      </c>
      <c r="F302" t="s">
        <v>17</v>
      </c>
      <c r="G302" t="s">
        <v>34</v>
      </c>
      <c r="H302" s="1">
        <v>76.900000000000006</v>
      </c>
      <c r="I302" s="2">
        <v>161778</v>
      </c>
      <c r="J302" s="2">
        <v>94290</v>
      </c>
      <c r="K302" s="2">
        <v>862</v>
      </c>
      <c r="L302" s="2">
        <v>39451</v>
      </c>
      <c r="M302" s="2">
        <v>38749</v>
      </c>
      <c r="N302" s="2">
        <v>891</v>
      </c>
      <c r="O302" s="41">
        <v>0.41840068000000002</v>
      </c>
      <c r="P302" s="6">
        <f t="shared" si="4"/>
        <v>0.23951958857199371</v>
      </c>
      <c r="Q302" s="6">
        <v>0.23951958857199371</v>
      </c>
      <c r="R302" s="32">
        <v>0.47534275365006373</v>
      </c>
      <c r="S302" s="7">
        <v>5.3282893842178788E-3</v>
      </c>
      <c r="T302" s="7">
        <v>9.1420086965743989E-3</v>
      </c>
      <c r="U302" t="s">
        <v>73</v>
      </c>
    </row>
    <row r="303" spans="1:21" ht="15.75" customHeight="1" x14ac:dyDescent="0.25">
      <c r="A303" t="s">
        <v>39</v>
      </c>
      <c r="B303" t="s">
        <v>60</v>
      </c>
      <c r="C303" t="s">
        <v>15</v>
      </c>
      <c r="D303" t="s">
        <v>67</v>
      </c>
      <c r="E303" t="s">
        <v>16</v>
      </c>
      <c r="F303" t="s">
        <v>17</v>
      </c>
      <c r="G303" t="s">
        <v>34</v>
      </c>
      <c r="H303" s="1">
        <v>61.75</v>
      </c>
      <c r="I303" s="2">
        <v>315774</v>
      </c>
      <c r="J303" s="2">
        <v>151521</v>
      </c>
      <c r="K303" s="2">
        <v>1153</v>
      </c>
      <c r="L303" s="2">
        <v>14487</v>
      </c>
      <c r="M303" s="2">
        <v>14278</v>
      </c>
      <c r="N303" s="2">
        <v>453</v>
      </c>
      <c r="O303" s="41">
        <v>9.5610509999999996E-2</v>
      </c>
      <c r="P303" s="6">
        <f t="shared" si="4"/>
        <v>4.5215882244896664E-2</v>
      </c>
      <c r="Q303" s="6">
        <v>4.5215882244896664E-2</v>
      </c>
      <c r="R303" s="32">
        <v>0.19555124867785187</v>
      </c>
      <c r="S303" s="7">
        <v>3.651345582600214E-3</v>
      </c>
      <c r="T303" s="7">
        <v>7.6095062730578604E-3</v>
      </c>
      <c r="U303" t="s">
        <v>73</v>
      </c>
    </row>
    <row r="304" spans="1:21" ht="15.75" customHeight="1" x14ac:dyDescent="0.25">
      <c r="A304" t="s">
        <v>39</v>
      </c>
      <c r="B304" t="s">
        <v>60</v>
      </c>
      <c r="C304" t="s">
        <v>15</v>
      </c>
      <c r="D304" t="s">
        <v>67</v>
      </c>
      <c r="E304" t="s">
        <v>20</v>
      </c>
      <c r="F304" t="s">
        <v>40</v>
      </c>
      <c r="G304" t="s">
        <v>34</v>
      </c>
      <c r="H304" s="1">
        <v>59.47</v>
      </c>
      <c r="I304" s="2">
        <v>293212</v>
      </c>
      <c r="J304" s="2">
        <v>131552</v>
      </c>
      <c r="K304" s="2">
        <v>902</v>
      </c>
      <c r="L304" s="2">
        <v>598</v>
      </c>
      <c r="M304" s="2">
        <v>0</v>
      </c>
      <c r="N304" s="2">
        <v>0</v>
      </c>
      <c r="O304" s="41">
        <v>4.5457300000000004E-3</v>
      </c>
      <c r="P304" s="6">
        <f t="shared" si="4"/>
        <v>0</v>
      </c>
      <c r="Q304" s="6">
        <v>0</v>
      </c>
      <c r="R304" s="32">
        <v>0.20282253113787976</v>
      </c>
      <c r="S304" s="7">
        <v>3.0762724581531453E-3</v>
      </c>
      <c r="T304" s="7">
        <v>6.8566042325468252E-3</v>
      </c>
      <c r="U304" t="s">
        <v>73</v>
      </c>
    </row>
    <row r="305" spans="1:21" ht="15.75" customHeight="1" x14ac:dyDescent="0.25">
      <c r="A305" t="s">
        <v>39</v>
      </c>
      <c r="B305" t="s">
        <v>60</v>
      </c>
      <c r="C305" t="s">
        <v>15</v>
      </c>
      <c r="D305" t="s">
        <v>67</v>
      </c>
      <c r="E305" t="s">
        <v>16</v>
      </c>
      <c r="F305" t="s">
        <v>40</v>
      </c>
      <c r="G305" t="s">
        <v>34</v>
      </c>
      <c r="H305" s="1">
        <v>56.98</v>
      </c>
      <c r="I305" s="2">
        <v>298669</v>
      </c>
      <c r="J305" s="2">
        <v>139156</v>
      </c>
      <c r="K305" s="2">
        <v>689</v>
      </c>
      <c r="L305" s="2">
        <v>468</v>
      </c>
      <c r="M305" s="2">
        <v>0</v>
      </c>
      <c r="N305" s="2">
        <v>0</v>
      </c>
      <c r="O305" s="41">
        <v>3.3631300000000002E-3</v>
      </c>
      <c r="P305" s="6">
        <f t="shared" si="4"/>
        <v>0</v>
      </c>
      <c r="Q305" s="6">
        <v>0</v>
      </c>
      <c r="R305" s="32">
        <v>0.19077975953312865</v>
      </c>
      <c r="S305" s="7">
        <v>2.3069016201882351E-3</v>
      </c>
      <c r="T305" s="7">
        <v>4.9512777027221249E-3</v>
      </c>
      <c r="U305" t="s">
        <v>73</v>
      </c>
    </row>
    <row r="306" spans="1:21" ht="15.75" customHeight="1" x14ac:dyDescent="0.25">
      <c r="A306" t="s">
        <v>39</v>
      </c>
      <c r="B306" t="s">
        <v>60</v>
      </c>
      <c r="C306" t="s">
        <v>15</v>
      </c>
      <c r="D306" t="s">
        <v>67</v>
      </c>
      <c r="E306" t="s">
        <v>20</v>
      </c>
      <c r="F306" t="s">
        <v>17</v>
      </c>
      <c r="G306" t="s">
        <v>34</v>
      </c>
      <c r="H306" s="1">
        <v>50.29</v>
      </c>
      <c r="I306" s="2">
        <v>257301</v>
      </c>
      <c r="J306" s="2">
        <v>113759</v>
      </c>
      <c r="K306" s="2">
        <v>952</v>
      </c>
      <c r="L306" s="2">
        <v>10240</v>
      </c>
      <c r="M306" s="2">
        <v>9959</v>
      </c>
      <c r="N306" s="2">
        <v>570</v>
      </c>
      <c r="O306" s="41">
        <v>9.0014860000000002E-2</v>
      </c>
      <c r="P306" s="6">
        <f t="shared" si="4"/>
        <v>3.8705640475551979E-2</v>
      </c>
      <c r="Q306" s="6">
        <v>3.8705640475551979E-2</v>
      </c>
      <c r="R306" s="32">
        <v>0.19545201923039551</v>
      </c>
      <c r="S306" s="7">
        <v>3.6999467549679171E-3</v>
      </c>
      <c r="T306" s="7">
        <v>8.3685686407229311E-3</v>
      </c>
      <c r="U306" t="s">
        <v>73</v>
      </c>
    </row>
    <row r="307" spans="1:21" ht="15.75" customHeight="1" x14ac:dyDescent="0.25">
      <c r="A307" t="s">
        <v>39</v>
      </c>
      <c r="B307" t="s">
        <v>60</v>
      </c>
      <c r="C307" t="s">
        <v>15</v>
      </c>
      <c r="D307" t="s">
        <v>67</v>
      </c>
      <c r="E307" t="s">
        <v>20</v>
      </c>
      <c r="F307" t="s">
        <v>17</v>
      </c>
      <c r="G307" t="s">
        <v>33</v>
      </c>
      <c r="H307" s="1">
        <v>45.11</v>
      </c>
      <c r="I307" s="2">
        <v>110340</v>
      </c>
      <c r="J307" s="2">
        <v>49264</v>
      </c>
      <c r="K307" s="2">
        <v>488</v>
      </c>
      <c r="L307" s="2">
        <v>22611</v>
      </c>
      <c r="M307" s="2">
        <v>22250</v>
      </c>
      <c r="N307" s="2">
        <v>227</v>
      </c>
      <c r="O307" s="41">
        <v>0.45897612999999998</v>
      </c>
      <c r="P307" s="6">
        <f t="shared" si="4"/>
        <v>0.2016494471633134</v>
      </c>
      <c r="Q307" s="6">
        <v>0.2016494471633134</v>
      </c>
      <c r="R307" s="32">
        <v>0.4088272611926772</v>
      </c>
      <c r="S307" s="7">
        <v>4.4226934928403121E-3</v>
      </c>
      <c r="T307" s="7">
        <v>9.9058135758363104E-3</v>
      </c>
      <c r="U307" t="s">
        <v>73</v>
      </c>
    </row>
    <row r="308" spans="1:21" ht="15.75" customHeight="1" x14ac:dyDescent="0.25">
      <c r="A308" t="s">
        <v>39</v>
      </c>
      <c r="B308" t="s">
        <v>60</v>
      </c>
      <c r="C308" t="s">
        <v>15</v>
      </c>
      <c r="D308" t="s">
        <v>67</v>
      </c>
      <c r="E308" t="s">
        <v>20</v>
      </c>
      <c r="F308" t="s">
        <v>17</v>
      </c>
      <c r="G308" t="s">
        <v>34</v>
      </c>
      <c r="H308" s="1">
        <v>43.37</v>
      </c>
      <c r="I308" s="2">
        <v>61468</v>
      </c>
      <c r="J308" s="2">
        <v>43575</v>
      </c>
      <c r="K308" s="2">
        <v>844</v>
      </c>
      <c r="L308" s="2">
        <v>34644</v>
      </c>
      <c r="M308" s="2">
        <v>33837</v>
      </c>
      <c r="N308" s="2">
        <v>146</v>
      </c>
      <c r="O308" s="41">
        <v>0.79504302999999998</v>
      </c>
      <c r="P308" s="6">
        <f t="shared" si="4"/>
        <v>0.55048155137632593</v>
      </c>
      <c r="Q308" s="6">
        <v>0.55048155137632593</v>
      </c>
      <c r="R308" s="32">
        <v>0.7055703780829049</v>
      </c>
      <c r="S308" s="7">
        <v>1.3730721676319385E-2</v>
      </c>
      <c r="T308" s="7">
        <v>1.93689041881813E-2</v>
      </c>
      <c r="U308" t="s">
        <v>73</v>
      </c>
    </row>
    <row r="309" spans="1:21" ht="15.75" customHeight="1" x14ac:dyDescent="0.25">
      <c r="A309" t="s">
        <v>39</v>
      </c>
      <c r="B309" t="s">
        <v>60</v>
      </c>
      <c r="C309" t="s">
        <v>15</v>
      </c>
      <c r="D309" t="s">
        <v>67</v>
      </c>
      <c r="E309" t="s">
        <v>20</v>
      </c>
      <c r="F309" t="s">
        <v>17</v>
      </c>
      <c r="G309" t="s">
        <v>18</v>
      </c>
      <c r="H309" s="1">
        <v>33.71</v>
      </c>
      <c r="I309" s="2">
        <v>172397</v>
      </c>
      <c r="J309" s="2">
        <v>91948</v>
      </c>
      <c r="K309" s="2">
        <v>34</v>
      </c>
      <c r="L309" s="2">
        <v>4067</v>
      </c>
      <c r="M309" s="2">
        <v>4018</v>
      </c>
      <c r="N309" s="2">
        <v>23</v>
      </c>
      <c r="O309" s="41">
        <v>4.4231520000000003E-2</v>
      </c>
      <c r="P309" s="6">
        <f t="shared" si="4"/>
        <v>2.3306670069664786E-2</v>
      </c>
      <c r="Q309" s="6">
        <v>2.3306670069664786E-2</v>
      </c>
      <c r="R309" s="32">
        <v>0.195537045308213</v>
      </c>
      <c r="S309" s="7">
        <v>1.9721920915097131E-4</v>
      </c>
      <c r="T309" s="7">
        <v>3.6977422021142393E-4</v>
      </c>
      <c r="U309" t="s">
        <v>73</v>
      </c>
    </row>
    <row r="310" spans="1:21" ht="15.75" customHeight="1" x14ac:dyDescent="0.25">
      <c r="A310" t="s">
        <v>39</v>
      </c>
      <c r="B310" t="s">
        <v>60</v>
      </c>
      <c r="C310" t="s">
        <v>15</v>
      </c>
      <c r="D310" t="s">
        <v>67</v>
      </c>
      <c r="E310" t="s">
        <v>16</v>
      </c>
      <c r="F310" t="s">
        <v>40</v>
      </c>
      <c r="G310" t="s">
        <v>34</v>
      </c>
      <c r="H310" s="1">
        <v>31.82</v>
      </c>
      <c r="I310" s="2">
        <v>164052</v>
      </c>
      <c r="J310" s="2">
        <v>80462</v>
      </c>
      <c r="K310" s="2">
        <v>406</v>
      </c>
      <c r="L310" s="2">
        <v>291</v>
      </c>
      <c r="M310" s="2">
        <v>0</v>
      </c>
      <c r="N310" s="2">
        <v>0</v>
      </c>
      <c r="O310" s="41">
        <v>3.6166100000000001E-3</v>
      </c>
      <c r="P310" s="6">
        <f t="shared" si="4"/>
        <v>0</v>
      </c>
      <c r="Q310" s="6">
        <v>0</v>
      </c>
      <c r="R310" s="32">
        <v>0.19396288981542439</v>
      </c>
      <c r="S310" s="7">
        <v>2.4748250554702169E-3</v>
      </c>
      <c r="T310" s="7">
        <v>5.0458601575899186E-3</v>
      </c>
      <c r="U310" t="s">
        <v>73</v>
      </c>
    </row>
    <row r="311" spans="1:21" ht="15.75" customHeight="1" x14ac:dyDescent="0.25">
      <c r="A311" t="s">
        <v>39</v>
      </c>
      <c r="B311" t="s">
        <v>60</v>
      </c>
      <c r="C311" t="s">
        <v>15</v>
      </c>
      <c r="D311" t="s">
        <v>67</v>
      </c>
      <c r="E311" t="s">
        <v>20</v>
      </c>
      <c r="F311" t="s">
        <v>17</v>
      </c>
      <c r="G311" t="s">
        <v>34</v>
      </c>
      <c r="H311" s="1">
        <v>28.96</v>
      </c>
      <c r="I311" s="2">
        <v>38553</v>
      </c>
      <c r="J311" s="2">
        <v>27256</v>
      </c>
      <c r="K311" s="2">
        <v>527</v>
      </c>
      <c r="L311" s="2">
        <v>21821</v>
      </c>
      <c r="M311" s="2">
        <v>21324</v>
      </c>
      <c r="N311" s="2">
        <v>122</v>
      </c>
      <c r="O311" s="41">
        <v>0.80059435999999995</v>
      </c>
      <c r="P311" s="6">
        <f t="shared" si="4"/>
        <v>0.55310870749358032</v>
      </c>
      <c r="Q311" s="6">
        <v>0.55310870749358032</v>
      </c>
      <c r="R311" s="32">
        <v>0.75117370892018775</v>
      </c>
      <c r="S311" s="7">
        <v>1.3669493943402588E-2</v>
      </c>
      <c r="T311" s="7">
        <v>1.933519225124743E-2</v>
      </c>
      <c r="U311" t="s">
        <v>73</v>
      </c>
    </row>
    <row r="312" spans="1:21" ht="15.75" customHeight="1" x14ac:dyDescent="0.25">
      <c r="A312" t="s">
        <v>39</v>
      </c>
      <c r="B312" t="s">
        <v>60</v>
      </c>
      <c r="C312" t="s">
        <v>15</v>
      </c>
      <c r="D312" t="s">
        <v>67</v>
      </c>
      <c r="E312" t="s">
        <v>16</v>
      </c>
      <c r="F312" t="s">
        <v>17</v>
      </c>
      <c r="G312" t="s">
        <v>34</v>
      </c>
      <c r="H312" s="1">
        <v>27.67</v>
      </c>
      <c r="I312" s="2">
        <v>146290</v>
      </c>
      <c r="J312" s="2">
        <v>77953</v>
      </c>
      <c r="K312" s="2">
        <v>263</v>
      </c>
      <c r="L312" s="2">
        <v>4032</v>
      </c>
      <c r="M312" s="2">
        <v>3962</v>
      </c>
      <c r="N312" s="2">
        <v>3238</v>
      </c>
      <c r="O312" s="41">
        <v>5.1723470000000001E-2</v>
      </c>
      <c r="P312" s="6">
        <f t="shared" si="4"/>
        <v>2.7083190922140954E-2</v>
      </c>
      <c r="Q312" s="6">
        <v>2.7083190922140954E-2</v>
      </c>
      <c r="R312" s="32">
        <v>0.18914484927199399</v>
      </c>
      <c r="S312" s="7">
        <v>1.7977988926105681E-3</v>
      </c>
      <c r="T312" s="7">
        <v>3.3738278193270309E-3</v>
      </c>
      <c r="U312" t="s">
        <v>73</v>
      </c>
    </row>
    <row r="313" spans="1:21" ht="15.75" customHeight="1" x14ac:dyDescent="0.25">
      <c r="A313" t="s">
        <v>39</v>
      </c>
      <c r="B313" t="s">
        <v>60</v>
      </c>
      <c r="C313" t="s">
        <v>15</v>
      </c>
      <c r="D313" t="s">
        <v>67</v>
      </c>
      <c r="E313" t="s">
        <v>16</v>
      </c>
      <c r="F313" t="s">
        <v>17</v>
      </c>
      <c r="G313" t="s">
        <v>18</v>
      </c>
      <c r="H313" s="1">
        <v>25.46</v>
      </c>
      <c r="I313" s="2">
        <v>133304</v>
      </c>
      <c r="J313" s="2">
        <v>71626</v>
      </c>
      <c r="K313" s="2">
        <v>52</v>
      </c>
      <c r="L313" s="2">
        <v>7244</v>
      </c>
      <c r="M313" s="2">
        <v>7184</v>
      </c>
      <c r="N313" s="2">
        <v>44</v>
      </c>
      <c r="O313" s="41">
        <v>0.10113646</v>
      </c>
      <c r="P313" s="6">
        <f t="shared" si="4"/>
        <v>5.389185620836584E-2</v>
      </c>
      <c r="Q313" s="6">
        <v>5.389185620836584E-2</v>
      </c>
      <c r="R313" s="32">
        <v>0.19099201824401368</v>
      </c>
      <c r="S313" s="7">
        <v>3.9008581888015366E-4</v>
      </c>
      <c r="T313" s="7">
        <v>7.2599335436852538E-4</v>
      </c>
      <c r="U313" t="s">
        <v>73</v>
      </c>
    </row>
    <row r="314" spans="1:21" ht="15.75" customHeight="1" x14ac:dyDescent="0.25">
      <c r="A314" t="s">
        <v>39</v>
      </c>
      <c r="B314" t="s">
        <v>60</v>
      </c>
      <c r="C314" t="s">
        <v>15</v>
      </c>
      <c r="D314" t="s">
        <v>67</v>
      </c>
      <c r="E314" t="s">
        <v>20</v>
      </c>
      <c r="F314" t="s">
        <v>17</v>
      </c>
      <c r="G314" t="s">
        <v>34</v>
      </c>
      <c r="H314" s="1">
        <v>25.14</v>
      </c>
      <c r="I314" s="2">
        <v>134861</v>
      </c>
      <c r="J314" s="2">
        <v>74543</v>
      </c>
      <c r="K314" s="2">
        <v>446</v>
      </c>
      <c r="L314" s="2">
        <v>3715</v>
      </c>
      <c r="M314" s="2">
        <v>3661</v>
      </c>
      <c r="N314" s="2">
        <v>144</v>
      </c>
      <c r="O314" s="41">
        <v>4.9837010000000001E-2</v>
      </c>
      <c r="P314" s="6">
        <f t="shared" si="4"/>
        <v>2.7146469327678127E-2</v>
      </c>
      <c r="Q314" s="6">
        <v>2.7146469327678127E-2</v>
      </c>
      <c r="R314" s="32">
        <v>0.18641415976449827</v>
      </c>
      <c r="S314" s="7">
        <v>3.307108800913533E-3</v>
      </c>
      <c r="T314" s="7">
        <v>5.9831238345652848E-3</v>
      </c>
      <c r="U314" t="s">
        <v>73</v>
      </c>
    </row>
    <row r="315" spans="1:21" ht="15.75" customHeight="1" x14ac:dyDescent="0.25">
      <c r="A315" t="s">
        <v>39</v>
      </c>
      <c r="B315" t="s">
        <v>60</v>
      </c>
      <c r="C315" t="s">
        <v>15</v>
      </c>
      <c r="D315" t="s">
        <v>67</v>
      </c>
      <c r="E315" t="s">
        <v>16</v>
      </c>
      <c r="F315" t="s">
        <v>17</v>
      </c>
      <c r="G315" t="s">
        <v>18</v>
      </c>
      <c r="H315" s="1">
        <v>19.37</v>
      </c>
      <c r="I315" s="2">
        <v>102413</v>
      </c>
      <c r="J315" s="2">
        <v>61166</v>
      </c>
      <c r="K315" s="2">
        <v>36</v>
      </c>
      <c r="L315" s="2">
        <v>3060</v>
      </c>
      <c r="M315" s="2">
        <v>3034</v>
      </c>
      <c r="N315" s="2">
        <v>14</v>
      </c>
      <c r="O315" s="41">
        <v>5.0027790000000003E-2</v>
      </c>
      <c r="P315" s="6">
        <f t="shared" si="4"/>
        <v>2.9625145245232538E-2</v>
      </c>
      <c r="Q315" s="6">
        <v>2.9625145245232538E-2</v>
      </c>
      <c r="R315" s="32">
        <v>0.18913614482536398</v>
      </c>
      <c r="S315" s="7">
        <v>3.5151787370743949E-4</v>
      </c>
      <c r="T315" s="7">
        <v>5.8856227315829052E-4</v>
      </c>
      <c r="U315" t="s">
        <v>73</v>
      </c>
    </row>
    <row r="316" spans="1:21" ht="15.75" customHeight="1" x14ac:dyDescent="0.25">
      <c r="A316" t="s">
        <v>39</v>
      </c>
      <c r="B316" t="s">
        <v>60</v>
      </c>
      <c r="C316" t="s">
        <v>15</v>
      </c>
      <c r="D316" t="s">
        <v>67</v>
      </c>
      <c r="E316" t="s">
        <v>20</v>
      </c>
      <c r="F316" t="s">
        <v>40</v>
      </c>
      <c r="G316" t="s">
        <v>34</v>
      </c>
      <c r="H316" s="1">
        <v>18.920000000000002</v>
      </c>
      <c r="I316" s="2">
        <v>98421</v>
      </c>
      <c r="J316" s="2">
        <v>48718</v>
      </c>
      <c r="K316" s="2">
        <v>228</v>
      </c>
      <c r="L316" s="2">
        <v>135</v>
      </c>
      <c r="M316" s="2">
        <v>0</v>
      </c>
      <c r="N316" s="2">
        <v>0</v>
      </c>
      <c r="O316" s="41">
        <v>2.7710500000000002E-3</v>
      </c>
      <c r="P316" s="6">
        <f t="shared" si="4"/>
        <v>0</v>
      </c>
      <c r="Q316" s="6">
        <v>0</v>
      </c>
      <c r="R316" s="32">
        <v>0.19223539691732458</v>
      </c>
      <c r="S316" s="7">
        <v>2.3165787789191333E-3</v>
      </c>
      <c r="T316" s="7">
        <v>4.6799950736893959E-3</v>
      </c>
      <c r="U316" t="s">
        <v>73</v>
      </c>
    </row>
    <row r="317" spans="1:21" ht="15.75" customHeight="1" x14ac:dyDescent="0.25">
      <c r="A317" t="s">
        <v>39</v>
      </c>
      <c r="B317" t="s">
        <v>60</v>
      </c>
      <c r="C317" t="s">
        <v>15</v>
      </c>
      <c r="D317" t="s">
        <v>67</v>
      </c>
      <c r="E317" t="s">
        <v>20</v>
      </c>
      <c r="F317" t="s">
        <v>17</v>
      </c>
      <c r="G317" t="s">
        <v>34</v>
      </c>
      <c r="H317" s="1">
        <v>18.84</v>
      </c>
      <c r="I317" s="2">
        <v>99290</v>
      </c>
      <c r="J317" s="2">
        <v>46006</v>
      </c>
      <c r="K317" s="2">
        <v>177</v>
      </c>
      <c r="L317" s="2">
        <v>1913</v>
      </c>
      <c r="M317" s="2">
        <v>1874</v>
      </c>
      <c r="N317" s="2">
        <v>1627</v>
      </c>
      <c r="O317" s="41">
        <v>4.1581529999999998E-2</v>
      </c>
      <c r="P317" s="6">
        <f t="shared" si="4"/>
        <v>1.8874005438614162E-2</v>
      </c>
      <c r="Q317" s="6">
        <v>1.8874005438614162E-2</v>
      </c>
      <c r="R317" s="32">
        <v>0.18974720515661195</v>
      </c>
      <c r="S317" s="7">
        <v>1.7826568637325008E-3</v>
      </c>
      <c r="T317" s="7">
        <v>3.8473242620527758E-3</v>
      </c>
      <c r="U317" t="s">
        <v>73</v>
      </c>
    </row>
    <row r="318" spans="1:21" ht="15.75" customHeight="1" x14ac:dyDescent="0.25">
      <c r="A318" t="s">
        <v>39</v>
      </c>
      <c r="B318" t="s">
        <v>60</v>
      </c>
      <c r="C318" t="s">
        <v>15</v>
      </c>
      <c r="D318" t="s">
        <v>67</v>
      </c>
      <c r="E318" t="s">
        <v>16</v>
      </c>
      <c r="F318" t="s">
        <v>17</v>
      </c>
      <c r="G318" t="s">
        <v>34</v>
      </c>
      <c r="H318" s="1">
        <v>18.16</v>
      </c>
      <c r="I318" s="2">
        <v>93929</v>
      </c>
      <c r="J318" s="2">
        <v>55552</v>
      </c>
      <c r="K318" s="2">
        <v>314</v>
      </c>
      <c r="L318" s="2">
        <v>3610</v>
      </c>
      <c r="M318" s="2">
        <v>3532</v>
      </c>
      <c r="N318" s="2">
        <v>148</v>
      </c>
      <c r="O318" s="41">
        <v>6.4984159999999999E-2</v>
      </c>
      <c r="P318" s="6">
        <f t="shared" si="4"/>
        <v>3.7602870253063483E-2</v>
      </c>
      <c r="Q318" s="6">
        <v>3.7602870253063483E-2</v>
      </c>
      <c r="R318" s="32">
        <v>0.19333752089344078</v>
      </c>
      <c r="S318" s="7">
        <v>3.3429505264614763E-3</v>
      </c>
      <c r="T318" s="7">
        <v>5.6523617511520744E-3</v>
      </c>
      <c r="U318" t="s">
        <v>73</v>
      </c>
    </row>
    <row r="319" spans="1:21" ht="15.75" customHeight="1" x14ac:dyDescent="0.25">
      <c r="A319" t="s">
        <v>39</v>
      </c>
      <c r="B319" t="s">
        <v>60</v>
      </c>
      <c r="C319" t="s">
        <v>15</v>
      </c>
      <c r="D319" t="s">
        <v>67</v>
      </c>
      <c r="E319" t="s">
        <v>20</v>
      </c>
      <c r="F319" t="s">
        <v>40</v>
      </c>
      <c r="G319" t="s">
        <v>34</v>
      </c>
      <c r="H319" s="1">
        <v>16.7</v>
      </c>
      <c r="I319" s="2">
        <v>83062</v>
      </c>
      <c r="J319" s="2">
        <v>48577</v>
      </c>
      <c r="K319" s="2">
        <v>196</v>
      </c>
      <c r="L319" s="2">
        <v>126</v>
      </c>
      <c r="M319" s="2">
        <v>0</v>
      </c>
      <c r="N319" s="2">
        <v>0</v>
      </c>
      <c r="O319" s="41">
        <v>2.5938200000000002E-3</v>
      </c>
      <c r="P319" s="6">
        <f t="shared" si="4"/>
        <v>0</v>
      </c>
      <c r="Q319" s="6">
        <v>0</v>
      </c>
      <c r="R319" s="32">
        <v>0.20105463388793912</v>
      </c>
      <c r="S319" s="7">
        <v>2.3596831282656329E-3</v>
      </c>
      <c r="T319" s="7">
        <v>4.0348312987627888E-3</v>
      </c>
      <c r="U319" t="s">
        <v>73</v>
      </c>
    </row>
    <row r="320" spans="1:21" ht="15.75" customHeight="1" x14ac:dyDescent="0.25">
      <c r="A320" t="s">
        <v>39</v>
      </c>
      <c r="B320" t="s">
        <v>60</v>
      </c>
      <c r="C320" t="s">
        <v>15</v>
      </c>
      <c r="D320" t="s">
        <v>67</v>
      </c>
      <c r="E320" t="s">
        <v>20</v>
      </c>
      <c r="F320" t="s">
        <v>17</v>
      </c>
      <c r="G320" t="s">
        <v>33</v>
      </c>
      <c r="H320" s="1">
        <v>16.02</v>
      </c>
      <c r="I320" s="2">
        <v>84105</v>
      </c>
      <c r="J320" s="2">
        <v>48014</v>
      </c>
      <c r="K320" s="2">
        <v>294</v>
      </c>
      <c r="L320" s="2">
        <v>4219</v>
      </c>
      <c r="M320" s="2">
        <v>4125</v>
      </c>
      <c r="N320" s="2">
        <v>179</v>
      </c>
      <c r="O320" s="41">
        <v>8.7870199999999996E-2</v>
      </c>
      <c r="P320" s="6">
        <f t="shared" si="4"/>
        <v>4.9045835562689495E-2</v>
      </c>
      <c r="Q320" s="6">
        <v>4.9045835562689495E-2</v>
      </c>
      <c r="R320" s="32">
        <v>0.19047619047619049</v>
      </c>
      <c r="S320" s="7">
        <v>3.495630461922597E-3</v>
      </c>
      <c r="T320" s="7">
        <v>6.1232140625650851E-3</v>
      </c>
      <c r="U320" t="s">
        <v>73</v>
      </c>
    </row>
    <row r="321" spans="1:21" ht="15.75" customHeight="1" x14ac:dyDescent="0.25">
      <c r="A321" t="s">
        <v>39</v>
      </c>
      <c r="B321" t="s">
        <v>60</v>
      </c>
      <c r="C321" t="s">
        <v>15</v>
      </c>
      <c r="D321" t="s">
        <v>67</v>
      </c>
      <c r="E321" t="s">
        <v>16</v>
      </c>
      <c r="F321" t="s">
        <v>17</v>
      </c>
      <c r="G321" t="s">
        <v>34</v>
      </c>
      <c r="H321" s="1">
        <v>15.25</v>
      </c>
      <c r="I321" s="2">
        <v>80609</v>
      </c>
      <c r="J321" s="2">
        <v>49201</v>
      </c>
      <c r="K321" s="2">
        <v>280</v>
      </c>
      <c r="L321" s="2">
        <v>2729</v>
      </c>
      <c r="M321" s="2">
        <v>2675</v>
      </c>
      <c r="N321" s="2">
        <v>76</v>
      </c>
      <c r="O321" s="41">
        <v>5.5466349999999998E-2</v>
      </c>
      <c r="P321" s="6">
        <f t="shared" si="4"/>
        <v>3.3184880100236944E-2</v>
      </c>
      <c r="Q321" s="6">
        <v>3.3184880100236944E-2</v>
      </c>
      <c r="R321" s="32">
        <v>0.18918483047798634</v>
      </c>
      <c r="S321" s="7">
        <v>3.4735575432023719E-3</v>
      </c>
      <c r="T321" s="7">
        <v>5.6909412410316874E-3</v>
      </c>
      <c r="U321" t="s">
        <v>73</v>
      </c>
    </row>
    <row r="322" spans="1:21" ht="15.75" customHeight="1" x14ac:dyDescent="0.25">
      <c r="A322" t="s">
        <v>39</v>
      </c>
      <c r="B322" t="s">
        <v>60</v>
      </c>
      <c r="C322" t="s">
        <v>15</v>
      </c>
      <c r="D322" t="s">
        <v>67</v>
      </c>
      <c r="E322" t="s">
        <v>20</v>
      </c>
      <c r="F322" t="s">
        <v>17</v>
      </c>
      <c r="G322" t="s">
        <v>33</v>
      </c>
      <c r="H322" s="1">
        <v>11.17</v>
      </c>
      <c r="I322" s="2">
        <v>60724</v>
      </c>
      <c r="J322" s="2">
        <v>37920</v>
      </c>
      <c r="K322" s="2">
        <v>135</v>
      </c>
      <c r="L322" s="2">
        <v>1915</v>
      </c>
      <c r="M322" s="2">
        <v>1882</v>
      </c>
      <c r="N322" s="2">
        <v>43</v>
      </c>
      <c r="O322" s="41">
        <v>5.0501049999999999E-2</v>
      </c>
      <c r="P322" s="6">
        <f t="shared" si="4"/>
        <v>3.0992688228706936E-2</v>
      </c>
      <c r="Q322" s="6">
        <v>3.0992688228706936E-2</v>
      </c>
      <c r="R322" s="32">
        <v>0.18394703906198537</v>
      </c>
      <c r="S322" s="7">
        <v>2.2231737039720705E-3</v>
      </c>
      <c r="T322" s="7">
        <v>3.5601265822784809E-3</v>
      </c>
      <c r="U322" t="s">
        <v>73</v>
      </c>
    </row>
    <row r="323" spans="1:21" ht="15.75" customHeight="1" x14ac:dyDescent="0.25">
      <c r="A323" t="s">
        <v>39</v>
      </c>
      <c r="B323" t="s">
        <v>60</v>
      </c>
      <c r="C323" t="s">
        <v>15</v>
      </c>
      <c r="D323" t="s">
        <v>67</v>
      </c>
      <c r="E323" t="s">
        <v>20</v>
      </c>
      <c r="F323" t="s">
        <v>17</v>
      </c>
      <c r="G323" t="s">
        <v>18</v>
      </c>
      <c r="H323" s="1">
        <v>10.29</v>
      </c>
      <c r="I323" s="2">
        <v>52086</v>
      </c>
      <c r="J323" s="2">
        <v>39672</v>
      </c>
      <c r="K323" s="2">
        <v>35</v>
      </c>
      <c r="L323" s="2">
        <v>2710</v>
      </c>
      <c r="M323" s="2">
        <v>2679</v>
      </c>
      <c r="N323" s="2">
        <v>62</v>
      </c>
      <c r="O323" s="41">
        <v>6.8310140000000005E-2</v>
      </c>
      <c r="P323" s="6">
        <f t="shared" ref="P323:P386" si="5">M323/I323</f>
        <v>5.1434166570671583E-2</v>
      </c>
      <c r="Q323" s="6">
        <v>5.1434166570671583E-2</v>
      </c>
      <c r="R323" s="32">
        <v>0.19755788503628613</v>
      </c>
      <c r="S323" s="7">
        <v>6.7196559536151753E-4</v>
      </c>
      <c r="T323" s="7">
        <v>8.8223432143577337E-4</v>
      </c>
      <c r="U323" t="s">
        <v>73</v>
      </c>
    </row>
    <row r="324" spans="1:21" ht="15.75" customHeight="1" x14ac:dyDescent="0.25">
      <c r="A324" t="s">
        <v>39</v>
      </c>
      <c r="B324" t="s">
        <v>60</v>
      </c>
      <c r="C324" t="s">
        <v>15</v>
      </c>
      <c r="D324" t="s">
        <v>67</v>
      </c>
      <c r="E324" t="s">
        <v>16</v>
      </c>
      <c r="F324" t="s">
        <v>41</v>
      </c>
      <c r="G324" t="s">
        <v>18</v>
      </c>
      <c r="H324" s="1">
        <v>9.48</v>
      </c>
      <c r="I324" s="2">
        <v>46822</v>
      </c>
      <c r="J324" s="2">
        <v>19820</v>
      </c>
      <c r="K324" s="2">
        <v>11</v>
      </c>
      <c r="L324" s="2">
        <v>578</v>
      </c>
      <c r="M324" s="2">
        <v>570</v>
      </c>
      <c r="N324" s="2">
        <v>115</v>
      </c>
      <c r="O324" s="41">
        <v>2.9162460000000001E-2</v>
      </c>
      <c r="P324" s="6">
        <f t="shared" si="5"/>
        <v>1.2173764469693734E-2</v>
      </c>
      <c r="Q324" s="6">
        <v>1.2173764469693734E-2</v>
      </c>
      <c r="R324" s="32">
        <v>0.20246892486438001</v>
      </c>
      <c r="S324" s="7">
        <v>2.3493229678356328E-4</v>
      </c>
      <c r="T324" s="7">
        <v>5.5499495459132185E-4</v>
      </c>
      <c r="U324" t="s">
        <v>73</v>
      </c>
    </row>
    <row r="325" spans="1:21" ht="15.75" customHeight="1" x14ac:dyDescent="0.25">
      <c r="A325" t="s">
        <v>39</v>
      </c>
      <c r="B325" t="s">
        <v>60</v>
      </c>
      <c r="C325" t="s">
        <v>15</v>
      </c>
      <c r="D325" t="s">
        <v>67</v>
      </c>
      <c r="E325" t="s">
        <v>16</v>
      </c>
      <c r="F325" t="s">
        <v>17</v>
      </c>
      <c r="G325" t="s">
        <v>18</v>
      </c>
      <c r="H325" s="1">
        <v>8.51</v>
      </c>
      <c r="I325" s="2">
        <v>45649</v>
      </c>
      <c r="J325" s="2">
        <v>31575</v>
      </c>
      <c r="K325" s="2">
        <v>20</v>
      </c>
      <c r="L325" s="2">
        <v>2625</v>
      </c>
      <c r="M325" s="2">
        <v>2600</v>
      </c>
      <c r="N325" s="2">
        <v>57</v>
      </c>
      <c r="O325" s="41">
        <v>8.3135390000000003E-2</v>
      </c>
      <c r="P325" s="6">
        <f t="shared" si="5"/>
        <v>5.6956340774168106E-2</v>
      </c>
      <c r="Q325" s="6">
        <v>5.6956340774168106E-2</v>
      </c>
      <c r="R325" s="32">
        <v>0.18642248461083483</v>
      </c>
      <c r="S325" s="7">
        <v>4.381256982628316E-4</v>
      </c>
      <c r="T325" s="7">
        <v>6.334125098970705E-4</v>
      </c>
      <c r="U325" t="s">
        <v>73</v>
      </c>
    </row>
    <row r="326" spans="1:21" ht="15.75" customHeight="1" x14ac:dyDescent="0.25">
      <c r="A326" t="s">
        <v>39</v>
      </c>
      <c r="B326" t="s">
        <v>60</v>
      </c>
      <c r="C326" t="s">
        <v>15</v>
      </c>
      <c r="D326" t="s">
        <v>67</v>
      </c>
      <c r="E326" t="s">
        <v>16</v>
      </c>
      <c r="F326" t="s">
        <v>17</v>
      </c>
      <c r="G326" t="s">
        <v>33</v>
      </c>
      <c r="H326" s="1">
        <v>8.36</v>
      </c>
      <c r="I326" s="2">
        <v>44517</v>
      </c>
      <c r="J326" s="2">
        <v>28208</v>
      </c>
      <c r="K326" s="2">
        <v>92</v>
      </c>
      <c r="L326" s="2">
        <v>1573</v>
      </c>
      <c r="M326" s="2">
        <v>1550</v>
      </c>
      <c r="N326" s="2">
        <v>36</v>
      </c>
      <c r="O326" s="41">
        <v>5.5764319999999999E-2</v>
      </c>
      <c r="P326" s="6">
        <f t="shared" si="5"/>
        <v>3.4818159354853204E-2</v>
      </c>
      <c r="Q326" s="6">
        <v>3.4818159354853204E-2</v>
      </c>
      <c r="R326" s="32">
        <v>0.18779342723004691</v>
      </c>
      <c r="S326" s="7">
        <v>2.066626232675158E-3</v>
      </c>
      <c r="T326" s="7">
        <v>3.2614861032331248E-3</v>
      </c>
      <c r="U326" t="s">
        <v>73</v>
      </c>
    </row>
    <row r="327" spans="1:21" ht="15.75" customHeight="1" x14ac:dyDescent="0.25">
      <c r="A327" t="s">
        <v>39</v>
      </c>
      <c r="B327" t="s">
        <v>60</v>
      </c>
      <c r="C327" t="s">
        <v>15</v>
      </c>
      <c r="D327" t="s">
        <v>67</v>
      </c>
      <c r="E327" t="s">
        <v>16</v>
      </c>
      <c r="F327" t="s">
        <v>41</v>
      </c>
      <c r="G327" t="s">
        <v>34</v>
      </c>
      <c r="H327" s="1">
        <v>7.29</v>
      </c>
      <c r="I327" s="2">
        <v>33987</v>
      </c>
      <c r="J327" s="2">
        <v>23520</v>
      </c>
      <c r="K327" s="2">
        <v>79</v>
      </c>
      <c r="L327" s="2">
        <v>1136</v>
      </c>
      <c r="M327" s="2">
        <v>1089</v>
      </c>
      <c r="N327" s="2">
        <v>1124</v>
      </c>
      <c r="O327" s="41">
        <v>4.829932E-2</v>
      </c>
      <c r="P327" s="6">
        <f t="shared" si="5"/>
        <v>3.2041662988789833E-2</v>
      </c>
      <c r="Q327" s="6">
        <v>3.2041662988789833E-2</v>
      </c>
      <c r="R327" s="32">
        <v>0.21449377703239472</v>
      </c>
      <c r="S327" s="7">
        <v>2.3244181598846619E-3</v>
      </c>
      <c r="T327" s="7">
        <v>3.3588435374149661E-3</v>
      </c>
      <c r="U327" t="s">
        <v>73</v>
      </c>
    </row>
    <row r="328" spans="1:21" ht="15.75" customHeight="1" x14ac:dyDescent="0.25">
      <c r="A328" t="s">
        <v>39</v>
      </c>
      <c r="B328" t="s">
        <v>60</v>
      </c>
      <c r="C328" t="s">
        <v>15</v>
      </c>
      <c r="D328" t="s">
        <v>67</v>
      </c>
      <c r="E328" t="s">
        <v>16</v>
      </c>
      <c r="F328" t="s">
        <v>17</v>
      </c>
      <c r="G328" t="s">
        <v>33</v>
      </c>
      <c r="H328" s="1">
        <v>7.19</v>
      </c>
      <c r="I328" s="2">
        <v>38773</v>
      </c>
      <c r="J328" s="2">
        <v>26999</v>
      </c>
      <c r="K328" s="2">
        <v>102</v>
      </c>
      <c r="L328" s="2">
        <v>1897</v>
      </c>
      <c r="M328" s="2">
        <v>1858</v>
      </c>
      <c r="N328" s="2">
        <v>61</v>
      </c>
      <c r="O328" s="41">
        <v>7.0261859999999995E-2</v>
      </c>
      <c r="P328" s="6">
        <f t="shared" si="5"/>
        <v>4.7919944291130424E-2</v>
      </c>
      <c r="Q328" s="6">
        <v>4.7919944291130424E-2</v>
      </c>
      <c r="R328" s="32">
        <v>0.18543832048074693</v>
      </c>
      <c r="S328" s="7">
        <v>2.6306966187811106E-3</v>
      </c>
      <c r="T328" s="7">
        <v>3.77791770065558E-3</v>
      </c>
      <c r="U328" t="s">
        <v>73</v>
      </c>
    </row>
    <row r="329" spans="1:21" ht="15.75" customHeight="1" x14ac:dyDescent="0.25">
      <c r="A329" t="s">
        <v>39</v>
      </c>
      <c r="B329" t="s">
        <v>60</v>
      </c>
      <c r="C329" t="s">
        <v>15</v>
      </c>
      <c r="D329" t="s">
        <v>67</v>
      </c>
      <c r="E329" t="s">
        <v>16</v>
      </c>
      <c r="F329" t="s">
        <v>17</v>
      </c>
      <c r="G329" t="s">
        <v>33</v>
      </c>
      <c r="H329" s="1">
        <v>6.87</v>
      </c>
      <c r="I329" s="2">
        <v>17491</v>
      </c>
      <c r="J329" s="2">
        <v>8622</v>
      </c>
      <c r="K329" s="2">
        <v>62</v>
      </c>
      <c r="L329" s="2">
        <v>3021</v>
      </c>
      <c r="M329" s="2">
        <v>2980</v>
      </c>
      <c r="N329" s="2">
        <v>16</v>
      </c>
      <c r="O329" s="41">
        <v>0.35038274000000003</v>
      </c>
      <c r="P329" s="6">
        <f t="shared" si="5"/>
        <v>0.17037333485792694</v>
      </c>
      <c r="Q329" s="6">
        <v>0.17037333485792694</v>
      </c>
      <c r="R329" s="32">
        <v>0.39277342633354295</v>
      </c>
      <c r="S329" s="7">
        <v>3.5446801212051914E-3</v>
      </c>
      <c r="T329" s="7">
        <v>7.1909069821387136E-3</v>
      </c>
      <c r="U329" t="s">
        <v>73</v>
      </c>
    </row>
    <row r="330" spans="1:21" ht="15.75" customHeight="1" x14ac:dyDescent="0.25">
      <c r="A330" t="s">
        <v>39</v>
      </c>
      <c r="B330" t="s">
        <v>60</v>
      </c>
      <c r="C330" t="s">
        <v>15</v>
      </c>
      <c r="D330" t="s">
        <v>67</v>
      </c>
      <c r="E330" t="s">
        <v>20</v>
      </c>
      <c r="F330" t="s">
        <v>41</v>
      </c>
      <c r="G330" t="s">
        <v>34</v>
      </c>
      <c r="H330" s="1">
        <v>4.78</v>
      </c>
      <c r="I330" s="2">
        <v>23110</v>
      </c>
      <c r="J330" s="2">
        <v>17124</v>
      </c>
      <c r="K330" s="2">
        <v>43</v>
      </c>
      <c r="L330" s="2">
        <v>847</v>
      </c>
      <c r="M330" s="2">
        <v>827</v>
      </c>
      <c r="N330" s="2">
        <v>851</v>
      </c>
      <c r="O330" s="41">
        <v>4.9462739999999998E-2</v>
      </c>
      <c r="P330" s="6">
        <f t="shared" si="5"/>
        <v>3.5785374296841192E-2</v>
      </c>
      <c r="Q330" s="6">
        <v>3.5785374296841192E-2</v>
      </c>
      <c r="R330" s="32">
        <v>0.20683686715707486</v>
      </c>
      <c r="S330" s="7">
        <v>1.8606663781912591E-3</v>
      </c>
      <c r="T330" s="7">
        <v>2.5110955384256011E-3</v>
      </c>
      <c r="U330" t="s">
        <v>73</v>
      </c>
    </row>
    <row r="331" spans="1:21" ht="15.75" customHeight="1" x14ac:dyDescent="0.25">
      <c r="A331" t="s">
        <v>39</v>
      </c>
      <c r="B331" t="s">
        <v>60</v>
      </c>
      <c r="C331" t="s">
        <v>15</v>
      </c>
      <c r="D331" t="s">
        <v>67</v>
      </c>
      <c r="E331" t="s">
        <v>20</v>
      </c>
      <c r="F331" t="s">
        <v>17</v>
      </c>
      <c r="G331" t="s">
        <v>34</v>
      </c>
      <c r="H331" s="1">
        <v>4.76</v>
      </c>
      <c r="I331" s="2">
        <v>10694</v>
      </c>
      <c r="J331" s="2">
        <v>8357</v>
      </c>
      <c r="K331" s="2">
        <v>99</v>
      </c>
      <c r="L331" s="2">
        <v>2257</v>
      </c>
      <c r="M331" s="2">
        <v>2174</v>
      </c>
      <c r="N331" s="2">
        <v>20</v>
      </c>
      <c r="O331" s="41">
        <v>0.27007299000000001</v>
      </c>
      <c r="P331" s="6">
        <f t="shared" si="5"/>
        <v>0.20329156536375537</v>
      </c>
      <c r="Q331" s="6">
        <v>0.20329156536375537</v>
      </c>
      <c r="R331" s="32">
        <v>0.445109407144193</v>
      </c>
      <c r="S331" s="7">
        <v>9.257527585561998E-3</v>
      </c>
      <c r="T331" s="7">
        <v>1.184635634797176E-2</v>
      </c>
      <c r="U331" t="s">
        <v>73</v>
      </c>
    </row>
    <row r="332" spans="1:21" ht="15.75" customHeight="1" x14ac:dyDescent="0.25">
      <c r="A332" t="s">
        <v>39</v>
      </c>
      <c r="B332" t="s">
        <v>60</v>
      </c>
      <c r="C332" t="s">
        <v>15</v>
      </c>
      <c r="D332" t="s">
        <v>67</v>
      </c>
      <c r="E332" t="s">
        <v>20</v>
      </c>
      <c r="F332" t="s">
        <v>17</v>
      </c>
      <c r="G332" t="s">
        <v>33</v>
      </c>
      <c r="H332" s="1">
        <v>3.54</v>
      </c>
      <c r="I332" s="2">
        <v>9061</v>
      </c>
      <c r="J332" s="2">
        <v>5610</v>
      </c>
      <c r="K332" s="2">
        <v>52</v>
      </c>
      <c r="L332" s="2">
        <v>1701</v>
      </c>
      <c r="M332" s="2">
        <v>1659</v>
      </c>
      <c r="N332" s="2">
        <v>8</v>
      </c>
      <c r="O332" s="41">
        <v>0.30320856000000002</v>
      </c>
      <c r="P332" s="6">
        <f t="shared" si="5"/>
        <v>0.18309237391016445</v>
      </c>
      <c r="Q332" s="6">
        <v>0.18309237391016445</v>
      </c>
      <c r="R332" s="32">
        <v>0.39068535481734912</v>
      </c>
      <c r="S332" s="7">
        <v>5.7388809182209472E-3</v>
      </c>
      <c r="T332" s="7">
        <v>9.2691622103386814E-3</v>
      </c>
      <c r="U332" t="s">
        <v>73</v>
      </c>
    </row>
    <row r="333" spans="1:21" ht="15.75" customHeight="1" x14ac:dyDescent="0.25">
      <c r="A333" t="s">
        <v>39</v>
      </c>
      <c r="B333" t="s">
        <v>60</v>
      </c>
      <c r="C333" t="s">
        <v>15</v>
      </c>
      <c r="D333" t="s">
        <v>67</v>
      </c>
      <c r="E333" t="s">
        <v>16</v>
      </c>
      <c r="F333" t="s">
        <v>17</v>
      </c>
      <c r="G333" t="s">
        <v>34</v>
      </c>
      <c r="H333" s="1">
        <v>3.51</v>
      </c>
      <c r="I333" s="2">
        <v>6104</v>
      </c>
      <c r="J333" s="2">
        <v>5596</v>
      </c>
      <c r="K333" s="2">
        <v>96</v>
      </c>
      <c r="L333" s="2">
        <v>2626</v>
      </c>
      <c r="M333" s="2">
        <v>2533</v>
      </c>
      <c r="N333" s="2">
        <v>5</v>
      </c>
      <c r="O333" s="41">
        <v>0.46926375999999997</v>
      </c>
      <c r="P333" s="6">
        <f t="shared" si="5"/>
        <v>0.4149737876802097</v>
      </c>
      <c r="Q333" s="6">
        <v>0.4149737876802097</v>
      </c>
      <c r="R333" s="32">
        <v>0.5750327653997378</v>
      </c>
      <c r="S333" s="7">
        <v>1.5727391874180863E-2</v>
      </c>
      <c r="T333" s="7">
        <v>1.7155110793423869E-2</v>
      </c>
      <c r="U333" t="s">
        <v>78</v>
      </c>
    </row>
    <row r="334" spans="1:21" ht="15.75" customHeight="1" x14ac:dyDescent="0.25">
      <c r="A334" t="s">
        <v>39</v>
      </c>
      <c r="B334" t="s">
        <v>60</v>
      </c>
      <c r="C334" t="s">
        <v>15</v>
      </c>
      <c r="D334" t="s">
        <v>67</v>
      </c>
      <c r="E334" t="s">
        <v>16</v>
      </c>
      <c r="F334" t="s">
        <v>17</v>
      </c>
      <c r="G334" t="s">
        <v>34</v>
      </c>
      <c r="H334" s="1">
        <v>1.63</v>
      </c>
      <c r="I334" s="2">
        <v>3143</v>
      </c>
      <c r="J334" s="2">
        <v>2495</v>
      </c>
      <c r="K334" s="2">
        <v>14</v>
      </c>
      <c r="L334" s="2">
        <v>977</v>
      </c>
      <c r="M334" s="2">
        <v>970</v>
      </c>
      <c r="N334" s="2">
        <v>833</v>
      </c>
      <c r="O334" s="41">
        <v>0.39158316999999998</v>
      </c>
      <c r="P334" s="6">
        <f t="shared" si="5"/>
        <v>0.30862233534839323</v>
      </c>
      <c r="Q334" s="6">
        <v>0.30862233534839323</v>
      </c>
      <c r="R334" s="32">
        <v>0.51861279032771235</v>
      </c>
      <c r="S334" s="7">
        <v>4.4543429844097994E-3</v>
      </c>
      <c r="T334" s="7">
        <v>5.6112224448897786E-3</v>
      </c>
      <c r="U334" t="s">
        <v>73</v>
      </c>
    </row>
    <row r="335" spans="1:21" ht="15.75" customHeight="1" x14ac:dyDescent="0.25">
      <c r="A335" t="s">
        <v>39</v>
      </c>
      <c r="B335" t="s">
        <v>60</v>
      </c>
      <c r="C335" t="s">
        <v>15</v>
      </c>
      <c r="D335" t="s">
        <v>67</v>
      </c>
      <c r="E335" t="s">
        <v>20</v>
      </c>
      <c r="F335" t="s">
        <v>41</v>
      </c>
      <c r="G335" t="s">
        <v>18</v>
      </c>
      <c r="H335" s="1">
        <v>0.89</v>
      </c>
      <c r="I335" s="2">
        <v>4659</v>
      </c>
      <c r="J335" s="2">
        <v>3337</v>
      </c>
      <c r="K335" s="2">
        <v>0</v>
      </c>
      <c r="L335" s="2">
        <v>37</v>
      </c>
      <c r="M335" s="2">
        <v>37</v>
      </c>
      <c r="N335" s="2">
        <v>8</v>
      </c>
      <c r="O335" s="41">
        <v>1.10878E-2</v>
      </c>
      <c r="P335" s="6">
        <f t="shared" si="5"/>
        <v>7.9416183730414251E-3</v>
      </c>
      <c r="Q335" s="6">
        <v>7.9416183730414251E-3</v>
      </c>
      <c r="R335" s="32">
        <v>0.19102811762180724</v>
      </c>
      <c r="S335" s="7">
        <v>0</v>
      </c>
      <c r="T335" s="7">
        <v>0</v>
      </c>
      <c r="U335" t="s">
        <v>73</v>
      </c>
    </row>
    <row r="336" spans="1:21" ht="15.75" customHeight="1" x14ac:dyDescent="0.25">
      <c r="A336" t="s">
        <v>39</v>
      </c>
      <c r="B336" t="s">
        <v>60</v>
      </c>
      <c r="C336" t="s">
        <v>15</v>
      </c>
      <c r="D336" t="s">
        <v>67</v>
      </c>
      <c r="E336" t="s">
        <v>20</v>
      </c>
      <c r="F336" t="s">
        <v>17</v>
      </c>
      <c r="G336" t="s">
        <v>34</v>
      </c>
      <c r="H336" s="1">
        <v>0.42</v>
      </c>
      <c r="I336" s="2">
        <v>1115</v>
      </c>
      <c r="J336" s="2">
        <v>969</v>
      </c>
      <c r="K336" s="2">
        <v>3</v>
      </c>
      <c r="L336" s="2">
        <v>233</v>
      </c>
      <c r="M336" s="2">
        <v>232</v>
      </c>
      <c r="N336" s="2">
        <v>194</v>
      </c>
      <c r="O336" s="41">
        <v>0.24045407999999999</v>
      </c>
      <c r="P336" s="6">
        <f t="shared" si="5"/>
        <v>0.20807174887892377</v>
      </c>
      <c r="Q336" s="6">
        <v>0.20807174887892377</v>
      </c>
      <c r="R336" s="32">
        <v>0.37668161434977576</v>
      </c>
      <c r="S336" s="7">
        <v>2.6905829596412557E-3</v>
      </c>
      <c r="T336" s="7">
        <v>3.095975232198143E-3</v>
      </c>
      <c r="U336" t="s">
        <v>73</v>
      </c>
    </row>
    <row r="337" spans="1:21" ht="15.75" customHeight="1" x14ac:dyDescent="0.25">
      <c r="A337" t="s">
        <v>39</v>
      </c>
      <c r="B337" t="s">
        <v>60</v>
      </c>
      <c r="C337" t="s">
        <v>15</v>
      </c>
      <c r="D337" t="s">
        <v>67</v>
      </c>
      <c r="E337" t="s">
        <v>20</v>
      </c>
      <c r="F337" t="s">
        <v>17</v>
      </c>
      <c r="G337" t="s">
        <v>18</v>
      </c>
      <c r="H337" s="1">
        <v>0.02</v>
      </c>
      <c r="I337" s="2">
        <v>57</v>
      </c>
      <c r="J337" s="2">
        <v>42</v>
      </c>
      <c r="K337" s="2">
        <v>0</v>
      </c>
      <c r="L337" s="2">
        <v>31</v>
      </c>
      <c r="M337" s="2">
        <v>31</v>
      </c>
      <c r="N337" s="2">
        <v>0</v>
      </c>
      <c r="O337" s="41">
        <v>0.73809524000000004</v>
      </c>
      <c r="P337" s="6">
        <f t="shared" si="5"/>
        <v>0.54385964912280704</v>
      </c>
      <c r="Q337" s="6">
        <v>0.54385964912280704</v>
      </c>
      <c r="R337" s="32">
        <v>0.35087719298245618</v>
      </c>
      <c r="S337" s="7">
        <v>0</v>
      </c>
      <c r="T337" s="7">
        <v>0</v>
      </c>
      <c r="U337" t="s">
        <v>73</v>
      </c>
    </row>
    <row r="338" spans="1:21" ht="15.75" customHeight="1" x14ac:dyDescent="0.25">
      <c r="A338" t="s">
        <v>39</v>
      </c>
      <c r="B338" t="s">
        <v>60</v>
      </c>
      <c r="C338" t="s">
        <v>15</v>
      </c>
      <c r="D338" t="s">
        <v>67</v>
      </c>
      <c r="E338" t="s">
        <v>16</v>
      </c>
      <c r="F338" t="s">
        <v>17</v>
      </c>
      <c r="G338" t="s">
        <v>18</v>
      </c>
      <c r="H338" s="1">
        <v>0.01</v>
      </c>
      <c r="I338" s="2">
        <v>90</v>
      </c>
      <c r="J338" s="2">
        <v>78</v>
      </c>
      <c r="K338" s="2">
        <v>0</v>
      </c>
      <c r="L338" s="2">
        <v>28</v>
      </c>
      <c r="M338" s="2">
        <v>28</v>
      </c>
      <c r="N338" s="2">
        <v>1</v>
      </c>
      <c r="O338" s="41">
        <v>0.35897435999999999</v>
      </c>
      <c r="P338" s="6">
        <f t="shared" si="5"/>
        <v>0.31111111111111112</v>
      </c>
      <c r="Q338" s="6">
        <v>0.31111111111111112</v>
      </c>
      <c r="R338" s="32">
        <v>0.11111111111111112</v>
      </c>
      <c r="S338" s="7">
        <v>0</v>
      </c>
      <c r="T338" s="7">
        <v>0</v>
      </c>
      <c r="U338" t="s">
        <v>73</v>
      </c>
    </row>
    <row r="339" spans="1:21" ht="15.75" customHeight="1" x14ac:dyDescent="0.25">
      <c r="A339" t="s">
        <v>39</v>
      </c>
      <c r="B339" t="s">
        <v>60</v>
      </c>
      <c r="C339" t="s">
        <v>15</v>
      </c>
      <c r="D339" t="s">
        <v>67</v>
      </c>
      <c r="E339" t="s">
        <v>16</v>
      </c>
      <c r="F339" t="s">
        <v>17</v>
      </c>
      <c r="G339" t="s">
        <v>18</v>
      </c>
      <c r="H339" s="1">
        <v>0.01</v>
      </c>
      <c r="I339" s="2">
        <v>78</v>
      </c>
      <c r="J339" s="2">
        <v>64</v>
      </c>
      <c r="K339" s="2">
        <v>0</v>
      </c>
      <c r="L339" s="2">
        <v>27</v>
      </c>
      <c r="M339" s="2">
        <v>27</v>
      </c>
      <c r="N339" s="2">
        <v>0</v>
      </c>
      <c r="O339" s="41">
        <v>0.421875</v>
      </c>
      <c r="P339" s="6">
        <f t="shared" si="5"/>
        <v>0.34615384615384615</v>
      </c>
      <c r="Q339" s="6">
        <v>0.34615384615384615</v>
      </c>
      <c r="R339" s="32">
        <v>0.12820512820512819</v>
      </c>
      <c r="S339" s="7">
        <v>0</v>
      </c>
      <c r="T339" s="7">
        <v>0</v>
      </c>
      <c r="U339" t="s">
        <v>73</v>
      </c>
    </row>
    <row r="340" spans="1:21" ht="15.75" customHeight="1" x14ac:dyDescent="0.25">
      <c r="A340" t="s">
        <v>39</v>
      </c>
      <c r="B340" t="s">
        <v>60</v>
      </c>
      <c r="C340" t="s">
        <v>15</v>
      </c>
      <c r="D340" t="s">
        <v>67</v>
      </c>
      <c r="E340" t="s">
        <v>16</v>
      </c>
      <c r="F340" t="s">
        <v>17</v>
      </c>
      <c r="G340" t="s">
        <v>18</v>
      </c>
      <c r="H340" s="1">
        <v>0.01</v>
      </c>
      <c r="I340" s="2">
        <v>73</v>
      </c>
      <c r="J340" s="2">
        <v>62</v>
      </c>
      <c r="K340" s="2">
        <v>0</v>
      </c>
      <c r="L340" s="2">
        <v>20</v>
      </c>
      <c r="M340" s="2">
        <v>20</v>
      </c>
      <c r="N340" s="2">
        <v>0</v>
      </c>
      <c r="O340" s="41">
        <v>0.32258065000000002</v>
      </c>
      <c r="P340" s="6">
        <f t="shared" si="5"/>
        <v>0.27397260273972601</v>
      </c>
      <c r="Q340" s="6">
        <v>0.27397260273972601</v>
      </c>
      <c r="R340" s="32">
        <v>0.13698630136986301</v>
      </c>
      <c r="S340" s="7">
        <v>0</v>
      </c>
      <c r="T340" s="7">
        <v>0</v>
      </c>
      <c r="U340" t="s">
        <v>73</v>
      </c>
    </row>
    <row r="341" spans="1:21" ht="15.75" customHeight="1" x14ac:dyDescent="0.25">
      <c r="A341" t="s">
        <v>39</v>
      </c>
      <c r="B341" t="s">
        <v>60</v>
      </c>
      <c r="C341" t="s">
        <v>15</v>
      </c>
      <c r="D341" t="s">
        <v>67</v>
      </c>
      <c r="E341" t="s">
        <v>20</v>
      </c>
      <c r="F341" t="s">
        <v>17</v>
      </c>
      <c r="G341" t="s">
        <v>18</v>
      </c>
      <c r="H341" s="1">
        <v>0</v>
      </c>
      <c r="I341" s="2">
        <v>42</v>
      </c>
      <c r="J341" s="2">
        <v>34</v>
      </c>
      <c r="K341" s="2">
        <v>0</v>
      </c>
      <c r="L341" s="2">
        <v>17</v>
      </c>
      <c r="M341" s="2">
        <v>17</v>
      </c>
      <c r="N341" s="2">
        <v>0</v>
      </c>
      <c r="O341" s="41">
        <v>0.5</v>
      </c>
      <c r="P341" s="6">
        <f t="shared" si="5"/>
        <v>0.40476190476190477</v>
      </c>
      <c r="Q341" s="6">
        <v>0.40476190476190477</v>
      </c>
      <c r="R341" s="32">
        <v>0</v>
      </c>
      <c r="S341" s="7">
        <v>0</v>
      </c>
      <c r="T341" s="7">
        <v>0</v>
      </c>
      <c r="U341" t="s">
        <v>73</v>
      </c>
    </row>
    <row r="342" spans="1:21" ht="15.75" customHeight="1" x14ac:dyDescent="0.25">
      <c r="A342" t="s">
        <v>39</v>
      </c>
      <c r="B342" t="s">
        <v>60</v>
      </c>
      <c r="C342" t="s">
        <v>15</v>
      </c>
      <c r="D342" t="s">
        <v>67</v>
      </c>
      <c r="E342" t="s">
        <v>20</v>
      </c>
      <c r="F342" t="s">
        <v>17</v>
      </c>
      <c r="G342" t="s">
        <v>18</v>
      </c>
      <c r="H342" s="1">
        <v>0</v>
      </c>
      <c r="I342" s="2">
        <v>55</v>
      </c>
      <c r="J342" s="2">
        <v>45</v>
      </c>
      <c r="K342" s="2">
        <v>0</v>
      </c>
      <c r="L342" s="2">
        <v>13</v>
      </c>
      <c r="M342" s="2">
        <v>13</v>
      </c>
      <c r="N342" s="2">
        <v>0</v>
      </c>
      <c r="O342" s="41">
        <v>0.28888889000000001</v>
      </c>
      <c r="P342" s="6">
        <f t="shared" si="5"/>
        <v>0.23636363636363636</v>
      </c>
      <c r="Q342" s="6">
        <v>0.23636363636363636</v>
      </c>
      <c r="R342" s="32">
        <v>0</v>
      </c>
      <c r="S342" s="7">
        <v>0</v>
      </c>
      <c r="T342" s="7">
        <v>0</v>
      </c>
      <c r="U342" t="s">
        <v>73</v>
      </c>
    </row>
    <row r="343" spans="1:21" ht="15.75" customHeight="1" x14ac:dyDescent="0.25">
      <c r="A343" t="s">
        <v>36</v>
      </c>
      <c r="B343" t="s">
        <v>58</v>
      </c>
      <c r="C343" t="s">
        <v>15</v>
      </c>
      <c r="D343" t="s">
        <v>67</v>
      </c>
      <c r="E343" t="s">
        <v>16</v>
      </c>
      <c r="F343" t="s">
        <v>17</v>
      </c>
      <c r="G343" t="s">
        <v>33</v>
      </c>
      <c r="H343" s="1">
        <v>967.61</v>
      </c>
      <c r="I343" s="2">
        <v>2296226</v>
      </c>
      <c r="J343" s="2">
        <v>456578</v>
      </c>
      <c r="K343" s="2">
        <v>10599</v>
      </c>
      <c r="L343" s="2">
        <v>325628</v>
      </c>
      <c r="M343" s="2">
        <v>318547</v>
      </c>
      <c r="N343" s="2">
        <v>8571</v>
      </c>
      <c r="O343" s="41">
        <v>0.71319248999999996</v>
      </c>
      <c r="P343" s="6">
        <f t="shared" si="5"/>
        <v>0.13872632746079872</v>
      </c>
      <c r="Q343" s="6">
        <v>0.13872632746079872</v>
      </c>
      <c r="R343" s="32">
        <v>0.42139144840272691</v>
      </c>
      <c r="S343" s="7">
        <v>4.6158348524927423E-3</v>
      </c>
      <c r="T343" s="7">
        <v>2.321399629417098E-2</v>
      </c>
      <c r="U343" t="s">
        <v>73</v>
      </c>
    </row>
    <row r="344" spans="1:21" ht="15.75" customHeight="1" x14ac:dyDescent="0.25">
      <c r="A344" t="s">
        <v>36</v>
      </c>
      <c r="B344" t="s">
        <v>58</v>
      </c>
      <c r="C344" t="s">
        <v>15</v>
      </c>
      <c r="D344" t="s">
        <v>67</v>
      </c>
      <c r="E344" t="s">
        <v>16</v>
      </c>
      <c r="F344" t="s">
        <v>17</v>
      </c>
      <c r="G344" t="s">
        <v>34</v>
      </c>
      <c r="H344" s="1">
        <v>418.6</v>
      </c>
      <c r="I344" s="2">
        <v>737111</v>
      </c>
      <c r="J344" s="2">
        <v>253378</v>
      </c>
      <c r="K344" s="2">
        <v>5663</v>
      </c>
      <c r="L344" s="2">
        <v>228050</v>
      </c>
      <c r="M344" s="2">
        <v>223538</v>
      </c>
      <c r="N344" s="2">
        <v>3000</v>
      </c>
      <c r="O344" s="41">
        <v>0.90003867999999998</v>
      </c>
      <c r="P344" s="6">
        <f t="shared" si="5"/>
        <v>0.30326233091081262</v>
      </c>
      <c r="Q344" s="6">
        <v>0.30326233091081262</v>
      </c>
      <c r="R344" s="32">
        <v>0.56789275970647579</v>
      </c>
      <c r="S344" s="7">
        <v>7.6826963645909505E-3</v>
      </c>
      <c r="T344" s="7">
        <v>2.235000670934335E-2</v>
      </c>
      <c r="U344" t="s">
        <v>73</v>
      </c>
    </row>
    <row r="345" spans="1:21" ht="15.75" customHeight="1" x14ac:dyDescent="0.25">
      <c r="A345" t="s">
        <v>36</v>
      </c>
      <c r="B345" t="s">
        <v>58</v>
      </c>
      <c r="C345" t="s">
        <v>15</v>
      </c>
      <c r="D345" t="s">
        <v>67</v>
      </c>
      <c r="E345" t="s">
        <v>16</v>
      </c>
      <c r="F345" t="s">
        <v>40</v>
      </c>
      <c r="G345" t="s">
        <v>34</v>
      </c>
      <c r="H345" s="1">
        <v>379.39</v>
      </c>
      <c r="I345" s="2">
        <v>1438856</v>
      </c>
      <c r="J345" s="2">
        <v>360056</v>
      </c>
      <c r="K345" s="2">
        <v>3591</v>
      </c>
      <c r="L345" s="2">
        <v>2354</v>
      </c>
      <c r="M345" s="2">
        <v>0</v>
      </c>
      <c r="N345" s="2">
        <v>0</v>
      </c>
      <c r="O345" s="41">
        <v>6.5378700000000003E-3</v>
      </c>
      <c r="P345" s="6">
        <f t="shared" si="5"/>
        <v>0</v>
      </c>
      <c r="Q345" s="6">
        <v>0</v>
      </c>
      <c r="R345" s="32">
        <v>0.26367475272021662</v>
      </c>
      <c r="S345" s="7">
        <v>2.4957327209950129E-3</v>
      </c>
      <c r="T345" s="7">
        <v>9.973448574666163E-3</v>
      </c>
      <c r="U345" t="s">
        <v>73</v>
      </c>
    </row>
    <row r="346" spans="1:21" ht="15.75" customHeight="1" x14ac:dyDescent="0.25">
      <c r="A346" t="s">
        <v>36</v>
      </c>
      <c r="B346" t="s">
        <v>58</v>
      </c>
      <c r="C346" t="s">
        <v>15</v>
      </c>
      <c r="D346" t="s">
        <v>67</v>
      </c>
      <c r="E346" t="s">
        <v>16</v>
      </c>
      <c r="F346" t="s">
        <v>17</v>
      </c>
      <c r="G346" t="s">
        <v>33</v>
      </c>
      <c r="H346" s="1">
        <v>269.02</v>
      </c>
      <c r="I346" s="2">
        <v>1058536</v>
      </c>
      <c r="J346" s="2">
        <v>304182</v>
      </c>
      <c r="K346" s="2">
        <v>4284</v>
      </c>
      <c r="L346" s="2">
        <v>55463</v>
      </c>
      <c r="M346" s="2">
        <v>55163</v>
      </c>
      <c r="N346" s="2">
        <v>1757</v>
      </c>
      <c r="O346" s="41">
        <v>0.18233492000000001</v>
      </c>
      <c r="P346" s="6">
        <f t="shared" si="5"/>
        <v>5.2112540338731986E-2</v>
      </c>
      <c r="Q346" s="6">
        <v>5.2112540338731986E-2</v>
      </c>
      <c r="R346" s="32">
        <v>0.25414345851251163</v>
      </c>
      <c r="S346" s="7">
        <v>4.0470990122206518E-3</v>
      </c>
      <c r="T346" s="7">
        <v>1.4083673590153259E-2</v>
      </c>
      <c r="U346" t="s">
        <v>73</v>
      </c>
    </row>
    <row r="347" spans="1:21" ht="15.75" customHeight="1" x14ac:dyDescent="0.25">
      <c r="A347" t="s">
        <v>36</v>
      </c>
      <c r="B347" t="s">
        <v>58</v>
      </c>
      <c r="C347" t="s">
        <v>15</v>
      </c>
      <c r="D347" t="s">
        <v>67</v>
      </c>
      <c r="E347" t="s">
        <v>20</v>
      </c>
      <c r="F347" t="s">
        <v>17</v>
      </c>
      <c r="G347" t="s">
        <v>33</v>
      </c>
      <c r="H347" s="1">
        <v>264.85000000000002</v>
      </c>
      <c r="I347" s="2">
        <v>580815</v>
      </c>
      <c r="J347" s="2">
        <v>153249</v>
      </c>
      <c r="K347" s="2">
        <v>1741</v>
      </c>
      <c r="L347" s="2">
        <v>103529</v>
      </c>
      <c r="M347" s="2">
        <v>102494</v>
      </c>
      <c r="N347" s="2">
        <v>2314</v>
      </c>
      <c r="O347" s="41">
        <v>0.67556068999999996</v>
      </c>
      <c r="P347" s="6">
        <f t="shared" si="5"/>
        <v>0.17646582818969897</v>
      </c>
      <c r="Q347" s="6">
        <v>0.17646582818969897</v>
      </c>
      <c r="R347" s="32">
        <v>0.45599717638146398</v>
      </c>
      <c r="S347" s="7">
        <v>2.997512116594785E-3</v>
      </c>
      <c r="T347" s="7">
        <v>1.136059615397164E-2</v>
      </c>
      <c r="U347" t="s">
        <v>73</v>
      </c>
    </row>
    <row r="348" spans="1:21" ht="15.75" customHeight="1" x14ac:dyDescent="0.25">
      <c r="A348" t="s">
        <v>36</v>
      </c>
      <c r="B348" t="s">
        <v>58</v>
      </c>
      <c r="C348" t="s">
        <v>15</v>
      </c>
      <c r="D348" t="s">
        <v>67</v>
      </c>
      <c r="E348" t="s">
        <v>20</v>
      </c>
      <c r="F348" t="s">
        <v>40</v>
      </c>
      <c r="G348" t="s">
        <v>34</v>
      </c>
      <c r="H348" s="1">
        <v>228.24</v>
      </c>
      <c r="I348" s="2">
        <v>837278</v>
      </c>
      <c r="J348" s="2">
        <v>280577</v>
      </c>
      <c r="K348" s="2">
        <v>1948</v>
      </c>
      <c r="L348" s="2">
        <v>1251</v>
      </c>
      <c r="M348" s="2">
        <v>0</v>
      </c>
      <c r="N348" s="2">
        <v>0</v>
      </c>
      <c r="O348" s="41">
        <v>4.4586699999999996E-3</v>
      </c>
      <c r="P348" s="6">
        <f t="shared" si="5"/>
        <v>0</v>
      </c>
      <c r="Q348" s="6">
        <v>0</v>
      </c>
      <c r="R348" s="32">
        <v>0.27259763184987545</v>
      </c>
      <c r="S348" s="7">
        <v>2.326586868399743E-3</v>
      </c>
      <c r="T348" s="7">
        <v>6.9428356565220959E-3</v>
      </c>
      <c r="U348" t="s">
        <v>73</v>
      </c>
    </row>
    <row r="349" spans="1:21" ht="15.75" customHeight="1" x14ac:dyDescent="0.25">
      <c r="A349" t="s">
        <v>36</v>
      </c>
      <c r="B349" t="s">
        <v>58</v>
      </c>
      <c r="C349" t="s">
        <v>15</v>
      </c>
      <c r="D349" t="s">
        <v>67</v>
      </c>
      <c r="E349" t="s">
        <v>20</v>
      </c>
      <c r="F349" t="s">
        <v>17</v>
      </c>
      <c r="G349" t="s">
        <v>34</v>
      </c>
      <c r="H349" s="1">
        <v>180.71</v>
      </c>
      <c r="I349" s="2">
        <v>711517</v>
      </c>
      <c r="J349" s="2">
        <v>224572</v>
      </c>
      <c r="K349" s="2">
        <v>2903</v>
      </c>
      <c r="L349" s="2">
        <v>26758</v>
      </c>
      <c r="M349" s="2">
        <v>26585</v>
      </c>
      <c r="N349" s="2">
        <v>1556</v>
      </c>
      <c r="O349" s="41">
        <v>0.1191511</v>
      </c>
      <c r="P349" s="6">
        <f t="shared" si="5"/>
        <v>3.7363829676592408E-2</v>
      </c>
      <c r="Q349" s="6">
        <v>3.7363829676592408E-2</v>
      </c>
      <c r="R349" s="32">
        <v>0.25397847135064938</v>
      </c>
      <c r="S349" s="7">
        <v>4.0800149539645574E-3</v>
      </c>
      <c r="T349" s="7">
        <v>1.2926811891063889E-2</v>
      </c>
      <c r="U349" t="s">
        <v>73</v>
      </c>
    </row>
    <row r="350" spans="1:21" ht="15.75" customHeight="1" x14ac:dyDescent="0.25">
      <c r="A350" t="s">
        <v>36</v>
      </c>
      <c r="B350" t="s">
        <v>58</v>
      </c>
      <c r="C350" t="s">
        <v>15</v>
      </c>
      <c r="D350" t="s">
        <v>67</v>
      </c>
      <c r="E350" t="s">
        <v>20</v>
      </c>
      <c r="F350" t="s">
        <v>17</v>
      </c>
      <c r="G350" t="s">
        <v>34</v>
      </c>
      <c r="H350" s="1">
        <v>110.37</v>
      </c>
      <c r="I350" s="2">
        <v>420091</v>
      </c>
      <c r="J350" s="2">
        <v>188258</v>
      </c>
      <c r="K350" s="2">
        <v>1442</v>
      </c>
      <c r="L350" s="2">
        <v>16964</v>
      </c>
      <c r="M350" s="2">
        <v>16806</v>
      </c>
      <c r="N350" s="2">
        <v>577</v>
      </c>
      <c r="O350" s="41">
        <v>9.0110380000000004E-2</v>
      </c>
      <c r="P350" s="6">
        <f t="shared" si="5"/>
        <v>4.0005617830422453E-2</v>
      </c>
      <c r="Q350" s="6">
        <v>4.0005617830422453E-2</v>
      </c>
      <c r="R350" s="32">
        <v>0.26272878971460945</v>
      </c>
      <c r="S350" s="7">
        <v>3.4325896055854566E-3</v>
      </c>
      <c r="T350" s="7">
        <v>7.6597010485610177E-3</v>
      </c>
      <c r="U350" t="s">
        <v>73</v>
      </c>
    </row>
    <row r="351" spans="1:21" ht="15.75" customHeight="1" x14ac:dyDescent="0.25">
      <c r="A351" t="s">
        <v>36</v>
      </c>
      <c r="B351" t="s">
        <v>58</v>
      </c>
      <c r="C351" t="s">
        <v>15</v>
      </c>
      <c r="D351" t="s">
        <v>67</v>
      </c>
      <c r="E351" t="s">
        <v>16</v>
      </c>
      <c r="F351" t="s">
        <v>17</v>
      </c>
      <c r="G351" t="s">
        <v>33</v>
      </c>
      <c r="H351" s="1">
        <v>86.98</v>
      </c>
      <c r="I351" s="2">
        <v>158990</v>
      </c>
      <c r="J351" s="2">
        <v>51344</v>
      </c>
      <c r="K351" s="2">
        <v>452</v>
      </c>
      <c r="L351" s="2">
        <v>31104</v>
      </c>
      <c r="M351" s="2">
        <v>30800</v>
      </c>
      <c r="N351" s="2">
        <v>179</v>
      </c>
      <c r="O351" s="41">
        <v>0.60579620000000001</v>
      </c>
      <c r="P351" s="6">
        <f t="shared" si="5"/>
        <v>0.19372287565255678</v>
      </c>
      <c r="Q351" s="6">
        <v>0.19372287565255678</v>
      </c>
      <c r="R351" s="32">
        <v>0.54707843260582434</v>
      </c>
      <c r="S351" s="7">
        <v>2.8429460972388201E-3</v>
      </c>
      <c r="T351" s="7">
        <v>8.8033655344344035E-3</v>
      </c>
      <c r="U351" t="s">
        <v>73</v>
      </c>
    </row>
    <row r="352" spans="1:21" ht="15.75" customHeight="1" x14ac:dyDescent="0.25">
      <c r="A352" t="s">
        <v>36</v>
      </c>
      <c r="B352" t="s">
        <v>58</v>
      </c>
      <c r="C352" t="s">
        <v>15</v>
      </c>
      <c r="D352" t="s">
        <v>67</v>
      </c>
      <c r="E352" t="s">
        <v>20</v>
      </c>
      <c r="F352" t="s">
        <v>17</v>
      </c>
      <c r="G352" t="s">
        <v>34</v>
      </c>
      <c r="H352" s="1">
        <v>85.53</v>
      </c>
      <c r="I352" s="2">
        <v>92544</v>
      </c>
      <c r="J352" s="2">
        <v>63281</v>
      </c>
      <c r="K352" s="2">
        <v>1199</v>
      </c>
      <c r="L352" s="2">
        <v>65083</v>
      </c>
      <c r="M352" s="2">
        <v>63926</v>
      </c>
      <c r="N352" s="2">
        <v>140</v>
      </c>
      <c r="O352" s="41">
        <v>1.0284761600000001</v>
      </c>
      <c r="P352" s="6">
        <f t="shared" si="5"/>
        <v>0.69076331258644541</v>
      </c>
      <c r="Q352" s="6">
        <v>0.69076331258644541</v>
      </c>
      <c r="R352" s="32">
        <v>0.92420902489626555</v>
      </c>
      <c r="S352" s="7">
        <v>1.2955999308437069E-2</v>
      </c>
      <c r="T352" s="7">
        <v>1.894723534710261E-2</v>
      </c>
      <c r="U352" t="s">
        <v>73</v>
      </c>
    </row>
    <row r="353" spans="1:21" ht="15.75" customHeight="1" x14ac:dyDescent="0.25">
      <c r="A353" t="s">
        <v>36</v>
      </c>
      <c r="B353" t="s">
        <v>58</v>
      </c>
      <c r="C353" t="s">
        <v>15</v>
      </c>
      <c r="D353" t="s">
        <v>67</v>
      </c>
      <c r="E353" t="s">
        <v>16</v>
      </c>
      <c r="F353" t="s">
        <v>40</v>
      </c>
      <c r="G353" t="s">
        <v>34</v>
      </c>
      <c r="H353" s="1">
        <v>83.68</v>
      </c>
      <c r="I353" s="2">
        <v>311567</v>
      </c>
      <c r="J353" s="2">
        <v>138463</v>
      </c>
      <c r="K353" s="2">
        <v>728</v>
      </c>
      <c r="L353" s="2">
        <v>480</v>
      </c>
      <c r="M353" s="2">
        <v>0</v>
      </c>
      <c r="N353" s="2">
        <v>0</v>
      </c>
      <c r="O353" s="41">
        <v>3.4666300000000001E-3</v>
      </c>
      <c r="P353" s="6">
        <f t="shared" si="5"/>
        <v>0</v>
      </c>
      <c r="Q353" s="6">
        <v>0</v>
      </c>
      <c r="R353" s="32">
        <v>0.26857786607695938</v>
      </c>
      <c r="S353" s="7">
        <v>2.336576081549073E-3</v>
      </c>
      <c r="T353" s="7">
        <v>5.25772227959816E-3</v>
      </c>
      <c r="U353" t="s">
        <v>73</v>
      </c>
    </row>
    <row r="354" spans="1:21" ht="15.75" customHeight="1" x14ac:dyDescent="0.25">
      <c r="A354" t="s">
        <v>36</v>
      </c>
      <c r="B354" t="s">
        <v>58</v>
      </c>
      <c r="C354" t="s">
        <v>15</v>
      </c>
      <c r="D354" t="s">
        <v>67</v>
      </c>
      <c r="E354" t="s">
        <v>20</v>
      </c>
      <c r="F354" t="s">
        <v>17</v>
      </c>
      <c r="G354" t="s">
        <v>33</v>
      </c>
      <c r="H354" s="1">
        <v>77.180000000000007</v>
      </c>
      <c r="I354" s="2">
        <v>77489</v>
      </c>
      <c r="J354" s="2">
        <v>51697</v>
      </c>
      <c r="K354" s="2">
        <v>914</v>
      </c>
      <c r="L354" s="2">
        <v>59467</v>
      </c>
      <c r="M354" s="2">
        <v>58585</v>
      </c>
      <c r="N354" s="2">
        <v>76</v>
      </c>
      <c r="O354" s="41">
        <v>1.1502988599999999</v>
      </c>
      <c r="P354" s="6">
        <f t="shared" si="5"/>
        <v>0.7560427931706436</v>
      </c>
      <c r="Q354" s="6">
        <v>0.7560427931706436</v>
      </c>
      <c r="R354" s="32">
        <v>0.99601233723496252</v>
      </c>
      <c r="S354" s="7">
        <v>1.179522254771645E-2</v>
      </c>
      <c r="T354" s="7">
        <v>1.767994274329265E-2</v>
      </c>
      <c r="U354" t="s">
        <v>73</v>
      </c>
    </row>
    <row r="355" spans="1:21" ht="15.75" customHeight="1" x14ac:dyDescent="0.25">
      <c r="A355" t="s">
        <v>36</v>
      </c>
      <c r="B355" t="s">
        <v>58</v>
      </c>
      <c r="C355" t="s">
        <v>15</v>
      </c>
      <c r="D355" t="s">
        <v>67</v>
      </c>
      <c r="E355" t="s">
        <v>20</v>
      </c>
      <c r="F355" t="s">
        <v>17</v>
      </c>
      <c r="G355" t="s">
        <v>33</v>
      </c>
      <c r="H355" s="1">
        <v>67.23</v>
      </c>
      <c r="I355" s="2">
        <v>267493</v>
      </c>
      <c r="J355" s="2">
        <v>104406</v>
      </c>
      <c r="K355" s="2">
        <v>1111</v>
      </c>
      <c r="L355" s="2">
        <v>13931</v>
      </c>
      <c r="M355" s="2">
        <v>13825</v>
      </c>
      <c r="N355" s="2">
        <v>521</v>
      </c>
      <c r="O355" s="41">
        <v>0.13343103000000001</v>
      </c>
      <c r="P355" s="6">
        <f t="shared" si="5"/>
        <v>5.1683595458572748E-2</v>
      </c>
      <c r="Q355" s="6">
        <v>5.1683595458572748E-2</v>
      </c>
      <c r="R355" s="32">
        <v>0.25133367975984416</v>
      </c>
      <c r="S355" s="7">
        <v>4.1533797146093539E-3</v>
      </c>
      <c r="T355" s="7">
        <v>1.064115089171121E-2</v>
      </c>
      <c r="U355" t="s">
        <v>73</v>
      </c>
    </row>
    <row r="356" spans="1:21" ht="15.75" customHeight="1" x14ac:dyDescent="0.25">
      <c r="A356" t="s">
        <v>36</v>
      </c>
      <c r="B356" t="s">
        <v>58</v>
      </c>
      <c r="C356" t="s">
        <v>15</v>
      </c>
      <c r="D356" t="s">
        <v>67</v>
      </c>
      <c r="E356" t="s">
        <v>16</v>
      </c>
      <c r="F356" t="s">
        <v>17</v>
      </c>
      <c r="G356" t="s">
        <v>34</v>
      </c>
      <c r="H356" s="1">
        <v>65.06</v>
      </c>
      <c r="I356" s="2">
        <v>255383</v>
      </c>
      <c r="J356" s="2">
        <v>120095</v>
      </c>
      <c r="K356" s="2">
        <v>809</v>
      </c>
      <c r="L356" s="2">
        <v>10352</v>
      </c>
      <c r="M356" s="2">
        <v>10136</v>
      </c>
      <c r="N356" s="2">
        <v>318</v>
      </c>
      <c r="O356" s="41">
        <v>8.6198430000000006E-2</v>
      </c>
      <c r="P356" s="6">
        <f t="shared" si="5"/>
        <v>3.96894076739642E-2</v>
      </c>
      <c r="Q356" s="6">
        <v>3.96894076739642E-2</v>
      </c>
      <c r="R356" s="32">
        <v>0.25475462344791944</v>
      </c>
      <c r="S356" s="7">
        <v>3.1677911215703472E-3</v>
      </c>
      <c r="T356" s="7">
        <v>6.7363337357924978E-3</v>
      </c>
      <c r="U356" t="s">
        <v>73</v>
      </c>
    </row>
    <row r="357" spans="1:21" ht="15.75" customHeight="1" x14ac:dyDescent="0.25">
      <c r="A357" t="s">
        <v>36</v>
      </c>
      <c r="B357" t="s">
        <v>58</v>
      </c>
      <c r="C357" t="s">
        <v>15</v>
      </c>
      <c r="D357" t="s">
        <v>67</v>
      </c>
      <c r="E357" t="s">
        <v>16</v>
      </c>
      <c r="F357" t="s">
        <v>17</v>
      </c>
      <c r="G357" t="s">
        <v>34</v>
      </c>
      <c r="H357" s="1">
        <v>49.12</v>
      </c>
      <c r="I357" s="2">
        <v>191753</v>
      </c>
      <c r="J357" s="2">
        <v>102044</v>
      </c>
      <c r="K357" s="2">
        <v>586</v>
      </c>
      <c r="L357" s="2">
        <v>7337</v>
      </c>
      <c r="M357" s="2">
        <v>7264</v>
      </c>
      <c r="N357" s="2">
        <v>358</v>
      </c>
      <c r="O357" s="41">
        <v>7.1900359999999996E-2</v>
      </c>
      <c r="P357" s="6">
        <f t="shared" si="5"/>
        <v>3.7882067034153311E-2</v>
      </c>
      <c r="Q357" s="6">
        <v>3.7882067034153311E-2</v>
      </c>
      <c r="R357" s="32">
        <v>0.25616287620011158</v>
      </c>
      <c r="S357" s="7">
        <v>3.0560147689997026E-3</v>
      </c>
      <c r="T357" s="7">
        <v>5.7426208302300968E-3</v>
      </c>
      <c r="U357" t="s">
        <v>73</v>
      </c>
    </row>
    <row r="358" spans="1:21" ht="15.75" customHeight="1" x14ac:dyDescent="0.25">
      <c r="A358" t="s">
        <v>36</v>
      </c>
      <c r="B358" t="s">
        <v>58</v>
      </c>
      <c r="C358" t="s">
        <v>15</v>
      </c>
      <c r="D358" t="s">
        <v>67</v>
      </c>
      <c r="E358" t="s">
        <v>16</v>
      </c>
      <c r="F358" t="s">
        <v>17</v>
      </c>
      <c r="G358" t="s">
        <v>18</v>
      </c>
      <c r="H358" s="1">
        <v>30.72</v>
      </c>
      <c r="I358" s="2">
        <v>117023</v>
      </c>
      <c r="J358" s="2">
        <v>74593</v>
      </c>
      <c r="K358" s="2">
        <v>113</v>
      </c>
      <c r="L358" s="2">
        <v>6697</v>
      </c>
      <c r="M358" s="2">
        <v>6608</v>
      </c>
      <c r="N358" s="2">
        <v>91</v>
      </c>
      <c r="O358" s="41">
        <v>8.9780540000000006E-2</v>
      </c>
      <c r="P358" s="6">
        <f t="shared" si="5"/>
        <v>5.6467532023619288E-2</v>
      </c>
      <c r="Q358" s="6">
        <v>5.6467532023619288E-2</v>
      </c>
      <c r="R358" s="32">
        <v>0.26251249754321798</v>
      </c>
      <c r="S358" s="7">
        <v>9.6562214265571728E-4</v>
      </c>
      <c r="T358" s="7">
        <v>1.5148874559275001E-3</v>
      </c>
      <c r="U358" t="s">
        <v>73</v>
      </c>
    </row>
    <row r="359" spans="1:21" ht="15.75" customHeight="1" x14ac:dyDescent="0.25">
      <c r="A359" t="s">
        <v>36</v>
      </c>
      <c r="B359" t="s">
        <v>58</v>
      </c>
      <c r="C359" t="s">
        <v>15</v>
      </c>
      <c r="D359" t="s">
        <v>67</v>
      </c>
      <c r="E359" t="s">
        <v>16</v>
      </c>
      <c r="F359" t="s">
        <v>17</v>
      </c>
      <c r="G359" t="s">
        <v>34</v>
      </c>
      <c r="H359" s="1">
        <v>28.68</v>
      </c>
      <c r="I359" s="2">
        <v>49703</v>
      </c>
      <c r="J359" s="2">
        <v>33256</v>
      </c>
      <c r="K359" s="2">
        <v>382</v>
      </c>
      <c r="L359" s="2">
        <v>16660</v>
      </c>
      <c r="M359" s="2">
        <v>16329</v>
      </c>
      <c r="N359" s="2">
        <v>84</v>
      </c>
      <c r="O359" s="41">
        <v>0.50096222999999995</v>
      </c>
      <c r="P359" s="6">
        <f t="shared" si="5"/>
        <v>0.32853147697322094</v>
      </c>
      <c r="Q359" s="6">
        <v>0.32853147697322094</v>
      </c>
      <c r="R359" s="32">
        <v>0.57702754360903774</v>
      </c>
      <c r="S359" s="7">
        <v>7.6856527774983403E-3</v>
      </c>
      <c r="T359" s="7">
        <v>1.1486649025739719E-2</v>
      </c>
      <c r="U359" t="s">
        <v>73</v>
      </c>
    </row>
    <row r="360" spans="1:21" ht="15.75" customHeight="1" x14ac:dyDescent="0.25">
      <c r="A360" t="s">
        <v>36</v>
      </c>
      <c r="B360" t="s">
        <v>58</v>
      </c>
      <c r="C360" t="s">
        <v>15</v>
      </c>
      <c r="D360" t="s">
        <v>67</v>
      </c>
      <c r="E360" t="s">
        <v>20</v>
      </c>
      <c r="F360" t="s">
        <v>17</v>
      </c>
      <c r="G360" t="s">
        <v>34</v>
      </c>
      <c r="H360" s="1">
        <v>28.35</v>
      </c>
      <c r="I360" s="2">
        <v>105503</v>
      </c>
      <c r="J360" s="2">
        <v>38712</v>
      </c>
      <c r="K360" s="2">
        <v>214</v>
      </c>
      <c r="L360" s="2">
        <v>1680</v>
      </c>
      <c r="M360" s="2">
        <v>1596</v>
      </c>
      <c r="N360" s="2">
        <v>1395</v>
      </c>
      <c r="O360" s="41">
        <v>4.3397400000000003E-2</v>
      </c>
      <c r="P360" s="6">
        <f t="shared" si="5"/>
        <v>1.5127531918523644E-2</v>
      </c>
      <c r="Q360" s="6">
        <v>1.5127531918523644E-2</v>
      </c>
      <c r="R360" s="32">
        <v>0.26871273802640688</v>
      </c>
      <c r="S360" s="7">
        <v>2.0283783399524186E-3</v>
      </c>
      <c r="T360" s="7">
        <v>5.5280016532341389E-3</v>
      </c>
      <c r="U360" t="s">
        <v>73</v>
      </c>
    </row>
    <row r="361" spans="1:21" ht="15.75" customHeight="1" x14ac:dyDescent="0.25">
      <c r="A361" t="s">
        <v>36</v>
      </c>
      <c r="B361" t="s">
        <v>58</v>
      </c>
      <c r="C361" t="s">
        <v>15</v>
      </c>
      <c r="D361" t="s">
        <v>67</v>
      </c>
      <c r="E361" t="s">
        <v>16</v>
      </c>
      <c r="F361" t="s">
        <v>17</v>
      </c>
      <c r="G361" t="s">
        <v>18</v>
      </c>
      <c r="H361" s="1">
        <v>27.69</v>
      </c>
      <c r="I361" s="2">
        <v>105138</v>
      </c>
      <c r="J361" s="2">
        <v>70653</v>
      </c>
      <c r="K361" s="2">
        <v>87</v>
      </c>
      <c r="L361" s="2">
        <v>8310</v>
      </c>
      <c r="M361" s="2">
        <v>8240</v>
      </c>
      <c r="N361" s="2">
        <v>192</v>
      </c>
      <c r="O361" s="41">
        <v>0.11761708999999999</v>
      </c>
      <c r="P361" s="6">
        <f t="shared" si="5"/>
        <v>7.8373185717818483E-2</v>
      </c>
      <c r="Q361" s="6">
        <v>7.8373185717818483E-2</v>
      </c>
      <c r="R361" s="32">
        <v>0.26336814472407694</v>
      </c>
      <c r="S361" s="7">
        <v>8.27483878331336E-4</v>
      </c>
      <c r="T361" s="7">
        <v>1.2313702178251449E-3</v>
      </c>
      <c r="U361" t="s">
        <v>73</v>
      </c>
    </row>
    <row r="362" spans="1:21" ht="15.75" customHeight="1" x14ac:dyDescent="0.25">
      <c r="A362" t="s">
        <v>36</v>
      </c>
      <c r="B362" t="s">
        <v>58</v>
      </c>
      <c r="C362" t="s">
        <v>15</v>
      </c>
      <c r="D362" t="s">
        <v>67</v>
      </c>
      <c r="E362" t="s">
        <v>20</v>
      </c>
      <c r="F362" t="s">
        <v>40</v>
      </c>
      <c r="G362" t="s">
        <v>34</v>
      </c>
      <c r="H362" s="1">
        <v>25.7</v>
      </c>
      <c r="I362" s="2">
        <v>98011</v>
      </c>
      <c r="J362" s="2">
        <v>47389</v>
      </c>
      <c r="K362" s="2">
        <v>198</v>
      </c>
      <c r="L362" s="2">
        <v>122</v>
      </c>
      <c r="M362" s="2">
        <v>0</v>
      </c>
      <c r="N362" s="2">
        <v>0</v>
      </c>
      <c r="O362" s="41">
        <v>2.5744399999999999E-3</v>
      </c>
      <c r="P362" s="6">
        <f t="shared" si="5"/>
        <v>0</v>
      </c>
      <c r="Q362" s="6">
        <v>0</v>
      </c>
      <c r="R362" s="32">
        <v>0.26221546561100284</v>
      </c>
      <c r="S362" s="7">
        <v>2.0201814082092826E-3</v>
      </c>
      <c r="T362" s="7">
        <v>4.1781848108210767E-3</v>
      </c>
      <c r="U362" t="s">
        <v>73</v>
      </c>
    </row>
    <row r="363" spans="1:21" ht="15.75" customHeight="1" x14ac:dyDescent="0.25">
      <c r="A363" t="s">
        <v>36</v>
      </c>
      <c r="B363" t="s">
        <v>58</v>
      </c>
      <c r="C363" t="s">
        <v>15</v>
      </c>
      <c r="D363" t="s">
        <v>67</v>
      </c>
      <c r="E363" t="s">
        <v>20</v>
      </c>
      <c r="F363" t="s">
        <v>17</v>
      </c>
      <c r="G363" t="s">
        <v>18</v>
      </c>
      <c r="H363" s="1">
        <v>24.08</v>
      </c>
      <c r="I363" s="2">
        <v>91545</v>
      </c>
      <c r="J363" s="2">
        <v>57041</v>
      </c>
      <c r="K363" s="2">
        <v>38</v>
      </c>
      <c r="L363" s="2">
        <v>4561</v>
      </c>
      <c r="M363" s="2">
        <v>4525</v>
      </c>
      <c r="N363" s="2">
        <v>64</v>
      </c>
      <c r="O363" s="41">
        <v>7.9960030000000001E-2</v>
      </c>
      <c r="P363" s="6">
        <f t="shared" si="5"/>
        <v>4.9429242449068767E-2</v>
      </c>
      <c r="Q363" s="6">
        <v>4.9429242449068767E-2</v>
      </c>
      <c r="R363" s="32">
        <v>0.26304003495548633</v>
      </c>
      <c r="S363" s="7">
        <v>4.1509640067726253E-4</v>
      </c>
      <c r="T363" s="7">
        <v>6.6618747918164125E-4</v>
      </c>
      <c r="U363" t="s">
        <v>73</v>
      </c>
    </row>
    <row r="364" spans="1:21" ht="15.75" customHeight="1" x14ac:dyDescent="0.25">
      <c r="A364" t="s">
        <v>36</v>
      </c>
      <c r="B364" t="s">
        <v>58</v>
      </c>
      <c r="C364" t="s">
        <v>15</v>
      </c>
      <c r="D364" t="s">
        <v>67</v>
      </c>
      <c r="E364" t="s">
        <v>20</v>
      </c>
      <c r="F364" t="s">
        <v>17</v>
      </c>
      <c r="G364" t="s">
        <v>34</v>
      </c>
      <c r="H364" s="1">
        <v>24</v>
      </c>
      <c r="I364" s="2">
        <v>31793</v>
      </c>
      <c r="J364" s="2">
        <v>22840</v>
      </c>
      <c r="K364" s="2">
        <v>332</v>
      </c>
      <c r="L364" s="2">
        <v>17338</v>
      </c>
      <c r="M364" s="2">
        <v>17042</v>
      </c>
      <c r="N364" s="2">
        <v>81</v>
      </c>
      <c r="O364" s="41">
        <v>0.75910683000000001</v>
      </c>
      <c r="P364" s="6">
        <f t="shared" si="5"/>
        <v>0.53602994369829837</v>
      </c>
      <c r="Q364" s="6">
        <v>0.53602994369829837</v>
      </c>
      <c r="R364" s="32">
        <v>0.75488315037901432</v>
      </c>
      <c r="S364" s="7">
        <v>1.0442550246909698E-2</v>
      </c>
      <c r="T364" s="7">
        <v>1.4535901926444829E-2</v>
      </c>
      <c r="U364" t="s">
        <v>73</v>
      </c>
    </row>
    <row r="365" spans="1:21" ht="15.75" customHeight="1" x14ac:dyDescent="0.25">
      <c r="A365" t="s">
        <v>36</v>
      </c>
      <c r="B365" t="s">
        <v>58</v>
      </c>
      <c r="C365" t="s">
        <v>15</v>
      </c>
      <c r="D365" t="s">
        <v>67</v>
      </c>
      <c r="E365" t="s">
        <v>20</v>
      </c>
      <c r="F365" t="s">
        <v>17</v>
      </c>
      <c r="G365" t="s">
        <v>33</v>
      </c>
      <c r="H365" s="1">
        <v>23.99</v>
      </c>
      <c r="I365" s="2">
        <v>45258</v>
      </c>
      <c r="J365" s="2">
        <v>29496</v>
      </c>
      <c r="K365" s="2">
        <v>217</v>
      </c>
      <c r="L365" s="2">
        <v>14046</v>
      </c>
      <c r="M365" s="2">
        <v>13890</v>
      </c>
      <c r="N365" s="2">
        <v>44</v>
      </c>
      <c r="O365" s="41">
        <v>0.47620015999999998</v>
      </c>
      <c r="P365" s="6">
        <f t="shared" si="5"/>
        <v>0.30690706615405011</v>
      </c>
      <c r="Q365" s="6">
        <v>0.30690706615405011</v>
      </c>
      <c r="R365" s="32">
        <v>0.53007203146405046</v>
      </c>
      <c r="S365" s="7">
        <v>4.7947324229970388E-3</v>
      </c>
      <c r="T365" s="7">
        <v>7.356929753186873E-3</v>
      </c>
      <c r="U365" t="s">
        <v>73</v>
      </c>
    </row>
    <row r="366" spans="1:21" ht="15.75" customHeight="1" x14ac:dyDescent="0.25">
      <c r="A366" t="s">
        <v>36</v>
      </c>
      <c r="B366" t="s">
        <v>58</v>
      </c>
      <c r="C366" t="s">
        <v>15</v>
      </c>
      <c r="D366" t="s">
        <v>67</v>
      </c>
      <c r="E366" t="s">
        <v>20</v>
      </c>
      <c r="F366" t="s">
        <v>17</v>
      </c>
      <c r="G366" t="s">
        <v>34</v>
      </c>
      <c r="H366" s="1">
        <v>22.74</v>
      </c>
      <c r="I366" s="2">
        <v>25953</v>
      </c>
      <c r="J366" s="2">
        <v>16905</v>
      </c>
      <c r="K366" s="2">
        <v>253</v>
      </c>
      <c r="L366" s="2">
        <v>16246</v>
      </c>
      <c r="M366" s="2">
        <v>16007</v>
      </c>
      <c r="N366" s="2">
        <v>10</v>
      </c>
      <c r="O366" s="41">
        <v>0.96101745000000005</v>
      </c>
      <c r="P366" s="6">
        <f t="shared" si="5"/>
        <v>0.61676877432281429</v>
      </c>
      <c r="Q366" s="6">
        <v>0.61676877432281429</v>
      </c>
      <c r="R366" s="32">
        <v>0.87619928331984731</v>
      </c>
      <c r="S366" s="7">
        <v>9.7483913227757873E-3</v>
      </c>
      <c r="T366" s="7">
        <v>1.4965986394557819E-2</v>
      </c>
      <c r="U366" t="s">
        <v>73</v>
      </c>
    </row>
    <row r="367" spans="1:21" ht="15.75" customHeight="1" x14ac:dyDescent="0.25">
      <c r="A367" t="s">
        <v>36</v>
      </c>
      <c r="B367" t="s">
        <v>58</v>
      </c>
      <c r="C367" t="s">
        <v>15</v>
      </c>
      <c r="D367" t="s">
        <v>67</v>
      </c>
      <c r="E367" t="s">
        <v>20</v>
      </c>
      <c r="F367" t="s">
        <v>17</v>
      </c>
      <c r="G367" t="s">
        <v>33</v>
      </c>
      <c r="H367" s="1">
        <v>22.61</v>
      </c>
      <c r="I367" s="2">
        <v>90035</v>
      </c>
      <c r="J367" s="2">
        <v>43326</v>
      </c>
      <c r="K367" s="2">
        <v>325</v>
      </c>
      <c r="L367" s="2">
        <v>4516</v>
      </c>
      <c r="M367" s="2">
        <v>4475</v>
      </c>
      <c r="N367" s="2">
        <v>202</v>
      </c>
      <c r="O367" s="41">
        <v>0.10423302</v>
      </c>
      <c r="P367" s="6">
        <f t="shared" si="5"/>
        <v>4.9702893319264731E-2</v>
      </c>
      <c r="Q367" s="6">
        <v>4.9702893319264731E-2</v>
      </c>
      <c r="R367" s="32">
        <v>0.25112456267007272</v>
      </c>
      <c r="S367" s="7">
        <v>3.6097073360359861E-3</v>
      </c>
      <c r="T367" s="7">
        <v>7.5012694455984857E-3</v>
      </c>
      <c r="U367" t="s">
        <v>73</v>
      </c>
    </row>
    <row r="368" spans="1:21" ht="15.75" customHeight="1" x14ac:dyDescent="0.25">
      <c r="A368" t="s">
        <v>36</v>
      </c>
      <c r="B368" t="s">
        <v>58</v>
      </c>
      <c r="C368" t="s">
        <v>15</v>
      </c>
      <c r="D368" t="s">
        <v>67</v>
      </c>
      <c r="E368" t="s">
        <v>16</v>
      </c>
      <c r="F368" t="s">
        <v>40</v>
      </c>
      <c r="G368" t="s">
        <v>34</v>
      </c>
      <c r="H368" s="1">
        <v>20.41</v>
      </c>
      <c r="I368" s="2">
        <v>77493</v>
      </c>
      <c r="J368" s="2">
        <v>40014</v>
      </c>
      <c r="K368" s="2">
        <v>160</v>
      </c>
      <c r="L368" s="2">
        <v>108</v>
      </c>
      <c r="M368" s="2">
        <v>0</v>
      </c>
      <c r="N368" s="2">
        <v>0</v>
      </c>
      <c r="O368" s="41">
        <v>2.6990600000000001E-3</v>
      </c>
      <c r="P368" s="6">
        <f t="shared" si="5"/>
        <v>0</v>
      </c>
      <c r="Q368" s="6">
        <v>0</v>
      </c>
      <c r="R368" s="32">
        <v>0.26337862774702231</v>
      </c>
      <c r="S368" s="7">
        <v>2.0647026183010079E-3</v>
      </c>
      <c r="T368" s="7">
        <v>3.9986004898285602E-3</v>
      </c>
      <c r="U368" t="s">
        <v>73</v>
      </c>
    </row>
    <row r="369" spans="1:21" ht="15.75" customHeight="1" x14ac:dyDescent="0.25">
      <c r="A369" t="s">
        <v>36</v>
      </c>
      <c r="B369" t="s">
        <v>58</v>
      </c>
      <c r="C369" t="s">
        <v>15</v>
      </c>
      <c r="D369" t="s">
        <v>67</v>
      </c>
      <c r="E369" t="s">
        <v>20</v>
      </c>
      <c r="F369" t="s">
        <v>17</v>
      </c>
      <c r="G369" t="s">
        <v>34</v>
      </c>
      <c r="H369" s="1">
        <v>20.350000000000001</v>
      </c>
      <c r="I369" s="2">
        <v>81139</v>
      </c>
      <c r="J369" s="2">
        <v>43053</v>
      </c>
      <c r="K369" s="2">
        <v>254</v>
      </c>
      <c r="L369" s="2">
        <v>2013</v>
      </c>
      <c r="M369" s="2">
        <v>1977</v>
      </c>
      <c r="N369" s="2">
        <v>94</v>
      </c>
      <c r="O369" s="41">
        <v>4.6756319999999997E-2</v>
      </c>
      <c r="P369" s="6">
        <f t="shared" si="5"/>
        <v>2.4365594843416851E-2</v>
      </c>
      <c r="Q369" s="6">
        <v>2.4365594843416851E-2</v>
      </c>
      <c r="R369" s="32">
        <v>0.25080417555059842</v>
      </c>
      <c r="S369" s="7">
        <v>3.1304304958158224E-3</v>
      </c>
      <c r="T369" s="7">
        <v>5.8997050147492616E-3</v>
      </c>
      <c r="U369" t="s">
        <v>73</v>
      </c>
    </row>
    <row r="370" spans="1:21" ht="15.75" customHeight="1" x14ac:dyDescent="0.25">
      <c r="A370" t="s">
        <v>36</v>
      </c>
      <c r="B370" t="s">
        <v>58</v>
      </c>
      <c r="C370" t="s">
        <v>15</v>
      </c>
      <c r="D370" t="s">
        <v>67</v>
      </c>
      <c r="E370" t="s">
        <v>20</v>
      </c>
      <c r="F370" t="s">
        <v>17</v>
      </c>
      <c r="G370" t="s">
        <v>33</v>
      </c>
      <c r="H370" s="1">
        <v>18.41</v>
      </c>
      <c r="I370" s="2">
        <v>71372</v>
      </c>
      <c r="J370" s="2">
        <v>33128</v>
      </c>
      <c r="K370" s="2">
        <v>191</v>
      </c>
      <c r="L370" s="2">
        <v>2142</v>
      </c>
      <c r="M370" s="2">
        <v>2100</v>
      </c>
      <c r="N370" s="2">
        <v>62</v>
      </c>
      <c r="O370" s="41">
        <v>6.4658300000000002E-2</v>
      </c>
      <c r="P370" s="6">
        <f t="shared" si="5"/>
        <v>2.9423303256178895E-2</v>
      </c>
      <c r="Q370" s="6">
        <v>2.9423303256178895E-2</v>
      </c>
      <c r="R370" s="32">
        <v>0.25794429187916834</v>
      </c>
      <c r="S370" s="7">
        <v>2.6761194866334135E-3</v>
      </c>
      <c r="T370" s="7">
        <v>5.7655155759478386E-3</v>
      </c>
      <c r="U370" t="s">
        <v>73</v>
      </c>
    </row>
    <row r="371" spans="1:21" ht="15.75" customHeight="1" x14ac:dyDescent="0.25">
      <c r="A371" t="s">
        <v>36</v>
      </c>
      <c r="B371" t="s">
        <v>58</v>
      </c>
      <c r="C371" t="s">
        <v>15</v>
      </c>
      <c r="D371" t="s">
        <v>67</v>
      </c>
      <c r="E371" t="s">
        <v>16</v>
      </c>
      <c r="F371" t="s">
        <v>17</v>
      </c>
      <c r="G371" t="s">
        <v>33</v>
      </c>
      <c r="H371" s="1">
        <v>17.329999999999998</v>
      </c>
      <c r="I371" s="2">
        <v>68617</v>
      </c>
      <c r="J371" s="2">
        <v>39215</v>
      </c>
      <c r="K371" s="2">
        <v>180</v>
      </c>
      <c r="L371" s="2">
        <v>2680</v>
      </c>
      <c r="M371" s="2">
        <v>2665</v>
      </c>
      <c r="N371" s="2">
        <v>68</v>
      </c>
      <c r="O371" s="41">
        <v>6.8341200000000005E-2</v>
      </c>
      <c r="P371" s="6">
        <f t="shared" si="5"/>
        <v>3.8838771732952478E-2</v>
      </c>
      <c r="Q371" s="6">
        <v>3.8838771732952478E-2</v>
      </c>
      <c r="R371" s="32">
        <v>0.25256131862366465</v>
      </c>
      <c r="S371" s="7">
        <v>2.6232566273663963E-3</v>
      </c>
      <c r="T371" s="7">
        <v>4.5900803264057122E-3</v>
      </c>
      <c r="U371" t="s">
        <v>73</v>
      </c>
    </row>
    <row r="372" spans="1:21" ht="15.75" customHeight="1" x14ac:dyDescent="0.25">
      <c r="A372" t="s">
        <v>36</v>
      </c>
      <c r="B372" t="s">
        <v>58</v>
      </c>
      <c r="C372" t="s">
        <v>15</v>
      </c>
      <c r="D372" t="s">
        <v>67</v>
      </c>
      <c r="E372" t="s">
        <v>20</v>
      </c>
      <c r="F372" t="s">
        <v>17</v>
      </c>
      <c r="G372" t="s">
        <v>18</v>
      </c>
      <c r="H372" s="1">
        <v>15.52</v>
      </c>
      <c r="I372" s="2">
        <v>59902</v>
      </c>
      <c r="J372" s="2">
        <v>44072</v>
      </c>
      <c r="K372" s="2">
        <v>35</v>
      </c>
      <c r="L372" s="2">
        <v>2393</v>
      </c>
      <c r="M372" s="2">
        <v>2361</v>
      </c>
      <c r="N372" s="2">
        <v>31</v>
      </c>
      <c r="O372" s="41">
        <v>5.429751E-2</v>
      </c>
      <c r="P372" s="6">
        <f t="shared" si="5"/>
        <v>3.9414376815465259E-2</v>
      </c>
      <c r="Q372" s="6">
        <v>3.9414376815465259E-2</v>
      </c>
      <c r="R372" s="32">
        <v>0.25908984674969116</v>
      </c>
      <c r="S372" s="7">
        <v>5.842876698607726E-4</v>
      </c>
      <c r="T372" s="7">
        <v>7.9415501905972044E-4</v>
      </c>
      <c r="U372" t="s">
        <v>73</v>
      </c>
    </row>
    <row r="373" spans="1:21" ht="15.75" customHeight="1" x14ac:dyDescent="0.25">
      <c r="A373" t="s">
        <v>36</v>
      </c>
      <c r="B373" t="s">
        <v>58</v>
      </c>
      <c r="C373" t="s">
        <v>15</v>
      </c>
      <c r="D373" t="s">
        <v>67</v>
      </c>
      <c r="E373" t="s">
        <v>20</v>
      </c>
      <c r="F373" t="s">
        <v>40</v>
      </c>
      <c r="G373" t="s">
        <v>34</v>
      </c>
      <c r="H373" s="1">
        <v>15.16</v>
      </c>
      <c r="I373" s="2">
        <v>57561</v>
      </c>
      <c r="J373" s="2">
        <v>25560</v>
      </c>
      <c r="K373" s="2">
        <v>164</v>
      </c>
      <c r="L373" s="2">
        <v>105</v>
      </c>
      <c r="M373" s="2">
        <v>0</v>
      </c>
      <c r="N373" s="2">
        <v>0</v>
      </c>
      <c r="O373" s="41">
        <v>4.1079799999999998E-3</v>
      </c>
      <c r="P373" s="6">
        <f t="shared" si="5"/>
        <v>0</v>
      </c>
      <c r="Q373" s="6">
        <v>0</v>
      </c>
      <c r="R373" s="32">
        <v>0.26337276975730095</v>
      </c>
      <c r="S373" s="7">
        <v>2.8491513351053665E-3</v>
      </c>
      <c r="T373" s="7">
        <v>6.4162754303599377E-3</v>
      </c>
      <c r="U373" t="s">
        <v>73</v>
      </c>
    </row>
    <row r="374" spans="1:21" ht="15.75" customHeight="1" x14ac:dyDescent="0.25">
      <c r="A374" t="s">
        <v>36</v>
      </c>
      <c r="B374" t="s">
        <v>58</v>
      </c>
      <c r="C374" t="s">
        <v>15</v>
      </c>
      <c r="D374" t="s">
        <v>67</v>
      </c>
      <c r="E374" t="s">
        <v>20</v>
      </c>
      <c r="F374" t="s">
        <v>17</v>
      </c>
      <c r="G374" t="s">
        <v>18</v>
      </c>
      <c r="H374" s="1">
        <v>14.91</v>
      </c>
      <c r="I374" s="2">
        <v>58612</v>
      </c>
      <c r="J374" s="2">
        <v>44033</v>
      </c>
      <c r="K374" s="2">
        <v>47</v>
      </c>
      <c r="L374" s="2">
        <v>3740</v>
      </c>
      <c r="M374" s="2">
        <v>3700</v>
      </c>
      <c r="N374" s="2">
        <v>117</v>
      </c>
      <c r="O374" s="41">
        <v>8.4936300000000006E-2</v>
      </c>
      <c r="P374" s="6">
        <f t="shared" si="5"/>
        <v>6.3127004708933329E-2</v>
      </c>
      <c r="Q374" s="6">
        <v>6.3127004708933329E-2</v>
      </c>
      <c r="R374" s="32">
        <v>0.25438476762437728</v>
      </c>
      <c r="S374" s="7">
        <v>8.018835733296936E-4</v>
      </c>
      <c r="T374" s="7">
        <v>1.0673812822201529E-3</v>
      </c>
      <c r="U374" t="s">
        <v>73</v>
      </c>
    </row>
    <row r="375" spans="1:21" ht="15.75" customHeight="1" x14ac:dyDescent="0.25">
      <c r="A375" t="s">
        <v>36</v>
      </c>
      <c r="B375" t="s">
        <v>58</v>
      </c>
      <c r="C375" t="s">
        <v>15</v>
      </c>
      <c r="D375" t="s">
        <v>67</v>
      </c>
      <c r="E375" t="s">
        <v>16</v>
      </c>
      <c r="F375" t="s">
        <v>17</v>
      </c>
      <c r="G375" t="s">
        <v>34</v>
      </c>
      <c r="H375" s="1">
        <v>14.27</v>
      </c>
      <c r="I375" s="2">
        <v>56645</v>
      </c>
      <c r="J375" s="2">
        <v>36088</v>
      </c>
      <c r="K375" s="2">
        <v>170</v>
      </c>
      <c r="L375" s="2">
        <v>1835</v>
      </c>
      <c r="M375" s="2">
        <v>1822</v>
      </c>
      <c r="N375" s="2">
        <v>71</v>
      </c>
      <c r="O375" s="41">
        <v>5.084793E-2</v>
      </c>
      <c r="P375" s="6">
        <f t="shared" si="5"/>
        <v>3.2165239650454584E-2</v>
      </c>
      <c r="Q375" s="6">
        <v>3.2165239650454584E-2</v>
      </c>
      <c r="R375" s="32">
        <v>0.25191985170800602</v>
      </c>
      <c r="S375" s="7">
        <v>3.0011474975726012E-3</v>
      </c>
      <c r="T375" s="7">
        <v>4.7107071602748834E-3</v>
      </c>
      <c r="U375" t="s">
        <v>73</v>
      </c>
    </row>
    <row r="376" spans="1:21" ht="15.75" customHeight="1" x14ac:dyDescent="0.25">
      <c r="A376" t="s">
        <v>36</v>
      </c>
      <c r="B376" t="s">
        <v>58</v>
      </c>
      <c r="C376" t="s">
        <v>15</v>
      </c>
      <c r="D376" t="s">
        <v>67</v>
      </c>
      <c r="E376" t="s">
        <v>16</v>
      </c>
      <c r="F376" t="s">
        <v>17</v>
      </c>
      <c r="G376" t="s">
        <v>34</v>
      </c>
      <c r="H376" s="1">
        <v>13.8</v>
      </c>
      <c r="I376" s="2">
        <v>54314</v>
      </c>
      <c r="J376" s="2">
        <v>27455</v>
      </c>
      <c r="K376" s="2">
        <v>101</v>
      </c>
      <c r="L376" s="2">
        <v>847</v>
      </c>
      <c r="M376" s="2">
        <v>823</v>
      </c>
      <c r="N376" s="2">
        <v>712</v>
      </c>
      <c r="O376" s="41">
        <v>3.085048E-2</v>
      </c>
      <c r="P376" s="6">
        <f t="shared" si="5"/>
        <v>1.5152630997532864E-2</v>
      </c>
      <c r="Q376" s="6">
        <v>1.5152630997532864E-2</v>
      </c>
      <c r="R376" s="32">
        <v>0.25407813823323638</v>
      </c>
      <c r="S376" s="7">
        <v>1.8595573885186139E-3</v>
      </c>
      <c r="T376" s="7">
        <v>3.678747040611911E-3</v>
      </c>
      <c r="U376" t="s">
        <v>73</v>
      </c>
    </row>
    <row r="377" spans="1:21" ht="15.75" customHeight="1" x14ac:dyDescent="0.25">
      <c r="A377" t="s">
        <v>36</v>
      </c>
      <c r="B377" t="s">
        <v>58</v>
      </c>
      <c r="C377" t="s">
        <v>15</v>
      </c>
      <c r="D377" t="s">
        <v>67</v>
      </c>
      <c r="E377" t="s">
        <v>16</v>
      </c>
      <c r="F377" t="s">
        <v>17</v>
      </c>
      <c r="G377" t="s">
        <v>18</v>
      </c>
      <c r="H377" s="1">
        <v>12.92</v>
      </c>
      <c r="I377" s="2">
        <v>52325</v>
      </c>
      <c r="J377" s="2">
        <v>43855</v>
      </c>
      <c r="K377" s="2">
        <v>42</v>
      </c>
      <c r="L377" s="2">
        <v>2726</v>
      </c>
      <c r="M377" s="2">
        <v>2688</v>
      </c>
      <c r="N377" s="2">
        <v>18</v>
      </c>
      <c r="O377" s="41">
        <v>6.2159390000000002E-2</v>
      </c>
      <c r="P377" s="6">
        <f t="shared" si="5"/>
        <v>5.1371237458193983E-2</v>
      </c>
      <c r="Q377" s="6">
        <v>5.1371237458193983E-2</v>
      </c>
      <c r="R377" s="32">
        <v>0.24691829909221213</v>
      </c>
      <c r="S377" s="7">
        <v>8.0267558528428098E-4</v>
      </c>
      <c r="T377" s="7">
        <v>9.5770151636073427E-4</v>
      </c>
      <c r="U377" t="s">
        <v>73</v>
      </c>
    </row>
    <row r="378" spans="1:21" ht="15.75" customHeight="1" x14ac:dyDescent="0.25">
      <c r="A378" t="s">
        <v>36</v>
      </c>
      <c r="B378" t="s">
        <v>58</v>
      </c>
      <c r="C378" t="s">
        <v>15</v>
      </c>
      <c r="D378" t="s">
        <v>67</v>
      </c>
      <c r="E378" t="s">
        <v>16</v>
      </c>
      <c r="F378" t="s">
        <v>17</v>
      </c>
      <c r="G378" t="s">
        <v>33</v>
      </c>
      <c r="H378" s="1">
        <v>12.67</v>
      </c>
      <c r="I378" s="2">
        <v>49744</v>
      </c>
      <c r="J378" s="2">
        <v>31183</v>
      </c>
      <c r="K378" s="2">
        <v>128</v>
      </c>
      <c r="L378" s="2">
        <v>2288</v>
      </c>
      <c r="M378" s="2">
        <v>2265</v>
      </c>
      <c r="N378" s="2">
        <v>95</v>
      </c>
      <c r="O378" s="41">
        <v>7.3373309999999997E-2</v>
      </c>
      <c r="P378" s="6">
        <f t="shared" si="5"/>
        <v>4.5533129623673209E-2</v>
      </c>
      <c r="Q378" s="6">
        <v>4.5533129623673209E-2</v>
      </c>
      <c r="R378" s="32">
        <v>0.2547040849147636</v>
      </c>
      <c r="S378" s="7">
        <v>2.5731746542296558E-3</v>
      </c>
      <c r="T378" s="7">
        <v>4.1048006926851172E-3</v>
      </c>
      <c r="U378" t="s">
        <v>73</v>
      </c>
    </row>
    <row r="379" spans="1:21" ht="15.75" customHeight="1" x14ac:dyDescent="0.25">
      <c r="A379" t="s">
        <v>36</v>
      </c>
      <c r="B379" t="s">
        <v>58</v>
      </c>
      <c r="C379" t="s">
        <v>15</v>
      </c>
      <c r="D379" t="s">
        <v>67</v>
      </c>
      <c r="E379" t="s">
        <v>20</v>
      </c>
      <c r="F379" t="s">
        <v>41</v>
      </c>
      <c r="G379" t="s">
        <v>34</v>
      </c>
      <c r="H379" s="1">
        <v>12.32</v>
      </c>
      <c r="I379" s="2">
        <v>45942</v>
      </c>
      <c r="J379" s="2">
        <v>27576</v>
      </c>
      <c r="K379" s="2">
        <v>99</v>
      </c>
      <c r="L379" s="2">
        <v>2114</v>
      </c>
      <c r="M379" s="2">
        <v>2060</v>
      </c>
      <c r="N379" s="2">
        <v>2027</v>
      </c>
      <c r="O379" s="41">
        <v>7.6660859999999997E-2</v>
      </c>
      <c r="P379" s="6">
        <f t="shared" si="5"/>
        <v>4.4839145008924296E-2</v>
      </c>
      <c r="Q379" s="6">
        <v>4.4839145008924296E-2</v>
      </c>
      <c r="R379" s="32">
        <v>0.26816420704366378</v>
      </c>
      <c r="S379" s="7">
        <v>2.1548909494580122E-3</v>
      </c>
      <c r="T379" s="7">
        <v>3.590078328981723E-3</v>
      </c>
      <c r="U379" t="s">
        <v>73</v>
      </c>
    </row>
    <row r="380" spans="1:21" ht="15.75" customHeight="1" x14ac:dyDescent="0.25">
      <c r="A380" t="s">
        <v>36</v>
      </c>
      <c r="B380" t="s">
        <v>58</v>
      </c>
      <c r="C380" t="s">
        <v>15</v>
      </c>
      <c r="D380" t="s">
        <v>67</v>
      </c>
      <c r="E380" t="s">
        <v>16</v>
      </c>
      <c r="F380" t="s">
        <v>41</v>
      </c>
      <c r="G380" t="s">
        <v>34</v>
      </c>
      <c r="H380" s="1">
        <v>9.2200000000000006</v>
      </c>
      <c r="I380" s="2">
        <v>33887</v>
      </c>
      <c r="J380" s="2">
        <v>23376</v>
      </c>
      <c r="K380" s="2">
        <v>69</v>
      </c>
      <c r="L380" s="2">
        <v>1167</v>
      </c>
      <c r="M380" s="2">
        <v>1130</v>
      </c>
      <c r="N380" s="2">
        <v>1159</v>
      </c>
      <c r="O380" s="41">
        <v>4.9923000000000002E-2</v>
      </c>
      <c r="P380" s="6">
        <f t="shared" si="5"/>
        <v>3.3346120931330596E-2</v>
      </c>
      <c r="Q380" s="6">
        <v>3.3346120931330596E-2</v>
      </c>
      <c r="R380" s="32">
        <v>0.27208073892643198</v>
      </c>
      <c r="S380" s="7">
        <v>2.0361790657184172E-3</v>
      </c>
      <c r="T380" s="7">
        <v>2.9517453798767971E-3</v>
      </c>
      <c r="U380" t="s">
        <v>73</v>
      </c>
    </row>
    <row r="381" spans="1:21" ht="15.75" customHeight="1" x14ac:dyDescent="0.25">
      <c r="A381" t="s">
        <v>36</v>
      </c>
      <c r="B381" t="s">
        <v>58</v>
      </c>
      <c r="C381" t="s">
        <v>15</v>
      </c>
      <c r="D381" t="s">
        <v>67</v>
      </c>
      <c r="E381" t="s">
        <v>16</v>
      </c>
      <c r="F381" t="s">
        <v>17</v>
      </c>
      <c r="G381" t="s">
        <v>34</v>
      </c>
      <c r="H381" s="1">
        <v>9.06</v>
      </c>
      <c r="I381" s="2">
        <v>16424</v>
      </c>
      <c r="J381" s="2">
        <v>11632</v>
      </c>
      <c r="K381" s="2">
        <v>122</v>
      </c>
      <c r="L381" s="2">
        <v>4710</v>
      </c>
      <c r="M381" s="2">
        <v>4611</v>
      </c>
      <c r="N381" s="2">
        <v>58</v>
      </c>
      <c r="O381" s="41">
        <v>0.40491747</v>
      </c>
      <c r="P381" s="6">
        <f t="shared" si="5"/>
        <v>0.28074768631271313</v>
      </c>
      <c r="Q381" s="6">
        <v>0.28074768631271313</v>
      </c>
      <c r="R381" s="32">
        <v>0.55163175840233802</v>
      </c>
      <c r="S381" s="7">
        <v>7.4281539210910861E-3</v>
      </c>
      <c r="T381" s="7">
        <v>1.048830811554333E-2</v>
      </c>
      <c r="U381" t="s">
        <v>73</v>
      </c>
    </row>
    <row r="382" spans="1:21" ht="15.75" customHeight="1" x14ac:dyDescent="0.25">
      <c r="A382" t="s">
        <v>36</v>
      </c>
      <c r="B382" t="s">
        <v>58</v>
      </c>
      <c r="C382" t="s">
        <v>15</v>
      </c>
      <c r="D382" t="s">
        <v>67</v>
      </c>
      <c r="E382" t="s">
        <v>16</v>
      </c>
      <c r="F382" t="s">
        <v>17</v>
      </c>
      <c r="G382" t="s">
        <v>33</v>
      </c>
      <c r="H382" s="1">
        <v>8.9600000000000009</v>
      </c>
      <c r="I382" s="2">
        <v>16746</v>
      </c>
      <c r="J382" s="2">
        <v>12884</v>
      </c>
      <c r="K382" s="2">
        <v>112</v>
      </c>
      <c r="L382" s="2">
        <v>4476</v>
      </c>
      <c r="M382" s="2">
        <v>4384</v>
      </c>
      <c r="N382" s="2">
        <v>46</v>
      </c>
      <c r="O382" s="41">
        <v>0.34740764000000002</v>
      </c>
      <c r="P382" s="6">
        <f t="shared" si="5"/>
        <v>0.26179386122059001</v>
      </c>
      <c r="Q382" s="6">
        <v>0.26179386122059001</v>
      </c>
      <c r="R382" s="32">
        <v>0.53505314702018392</v>
      </c>
      <c r="S382" s="7">
        <v>6.6881643377522991E-3</v>
      </c>
      <c r="T382" s="7">
        <v>8.6929524992238431E-3</v>
      </c>
      <c r="U382" t="s">
        <v>73</v>
      </c>
    </row>
    <row r="383" spans="1:21" ht="15.75" customHeight="1" x14ac:dyDescent="0.25">
      <c r="A383" t="s">
        <v>36</v>
      </c>
      <c r="B383" t="s">
        <v>58</v>
      </c>
      <c r="C383" t="s">
        <v>15</v>
      </c>
      <c r="D383" t="s">
        <v>67</v>
      </c>
      <c r="E383" t="s">
        <v>16</v>
      </c>
      <c r="F383" t="s">
        <v>17</v>
      </c>
      <c r="G383" t="s">
        <v>34</v>
      </c>
      <c r="H383" s="1">
        <v>0.5</v>
      </c>
      <c r="I383" s="2">
        <v>1454</v>
      </c>
      <c r="J383" s="2">
        <v>1032</v>
      </c>
      <c r="K383" s="2">
        <v>5</v>
      </c>
      <c r="L383" s="2">
        <v>104</v>
      </c>
      <c r="M383" s="2">
        <v>101</v>
      </c>
      <c r="N383" s="2">
        <v>86</v>
      </c>
      <c r="O383" s="41">
        <v>0.10077519</v>
      </c>
      <c r="P383" s="6">
        <f t="shared" si="5"/>
        <v>6.9463548830811558E-2</v>
      </c>
      <c r="Q383" s="6">
        <v>6.9463548830811558E-2</v>
      </c>
      <c r="R383" s="32">
        <v>0.34387895460797802</v>
      </c>
      <c r="S383" s="7">
        <v>3.4387895460797797E-3</v>
      </c>
      <c r="T383" s="7">
        <v>4.8449612403100766E-3</v>
      </c>
      <c r="U383" t="s">
        <v>73</v>
      </c>
    </row>
    <row r="384" spans="1:21" ht="15.75" customHeight="1" x14ac:dyDescent="0.25">
      <c r="A384" t="s">
        <v>36</v>
      </c>
      <c r="B384" t="s">
        <v>58</v>
      </c>
      <c r="C384" t="s">
        <v>15</v>
      </c>
      <c r="D384" t="s">
        <v>67</v>
      </c>
      <c r="E384" t="s">
        <v>20</v>
      </c>
      <c r="F384" t="s">
        <v>17</v>
      </c>
      <c r="G384" t="s">
        <v>34</v>
      </c>
      <c r="H384" s="1">
        <v>0.21</v>
      </c>
      <c r="I384" s="2">
        <v>564</v>
      </c>
      <c r="J384" s="2">
        <v>421</v>
      </c>
      <c r="K384" s="2">
        <v>2</v>
      </c>
      <c r="L384" s="2">
        <v>79</v>
      </c>
      <c r="M384" s="2">
        <v>78</v>
      </c>
      <c r="N384" s="2">
        <v>68</v>
      </c>
      <c r="O384" s="41">
        <v>0.18764845999999999</v>
      </c>
      <c r="P384" s="6">
        <f t="shared" si="5"/>
        <v>0.13829787234042554</v>
      </c>
      <c r="Q384" s="6">
        <v>0.13829787234042554</v>
      </c>
      <c r="R384" s="32">
        <v>0.37234042553191488</v>
      </c>
      <c r="S384" s="7">
        <v>3.5460992907801418E-3</v>
      </c>
      <c r="T384" s="7">
        <v>4.7505938242280287E-3</v>
      </c>
      <c r="U384" t="s">
        <v>73</v>
      </c>
    </row>
    <row r="385" spans="1:21" ht="15.75" customHeight="1" x14ac:dyDescent="0.25">
      <c r="A385" t="s">
        <v>36</v>
      </c>
      <c r="B385" t="s">
        <v>58</v>
      </c>
      <c r="C385" t="s">
        <v>15</v>
      </c>
      <c r="D385" t="s">
        <v>67</v>
      </c>
      <c r="E385" t="s">
        <v>16</v>
      </c>
      <c r="F385" t="s">
        <v>17</v>
      </c>
      <c r="G385" t="s">
        <v>18</v>
      </c>
      <c r="H385" s="1">
        <v>0</v>
      </c>
      <c r="I385" s="2">
        <v>1</v>
      </c>
      <c r="J385" s="2">
        <v>1</v>
      </c>
      <c r="K385" s="2">
        <v>0</v>
      </c>
      <c r="L385" s="2">
        <v>0</v>
      </c>
      <c r="M385" s="2">
        <v>0</v>
      </c>
      <c r="N385" s="2">
        <v>0</v>
      </c>
      <c r="O385" s="41">
        <v>0</v>
      </c>
      <c r="P385" s="6">
        <f t="shared" si="5"/>
        <v>0</v>
      </c>
      <c r="Q385" s="6">
        <v>0</v>
      </c>
      <c r="R385" s="32">
        <v>0</v>
      </c>
      <c r="S385" s="7">
        <v>0</v>
      </c>
      <c r="T385" s="7">
        <v>0</v>
      </c>
      <c r="U385" t="s">
        <v>73</v>
      </c>
    </row>
    <row r="386" spans="1:21" ht="15.75" customHeight="1" x14ac:dyDescent="0.25">
      <c r="A386" t="s">
        <v>36</v>
      </c>
      <c r="B386" t="s">
        <v>58</v>
      </c>
      <c r="C386" t="s">
        <v>15</v>
      </c>
      <c r="D386" t="s">
        <v>67</v>
      </c>
      <c r="E386" t="s">
        <v>16</v>
      </c>
      <c r="F386" t="s">
        <v>17</v>
      </c>
      <c r="G386" t="s">
        <v>18</v>
      </c>
      <c r="H386" s="1">
        <v>0</v>
      </c>
      <c r="I386" s="2">
        <v>1</v>
      </c>
      <c r="J386" s="2">
        <v>1</v>
      </c>
      <c r="K386" s="2">
        <v>0</v>
      </c>
      <c r="L386" s="2">
        <v>0</v>
      </c>
      <c r="M386" s="2">
        <v>0</v>
      </c>
      <c r="N386" s="2">
        <v>0</v>
      </c>
      <c r="O386" s="41">
        <v>0</v>
      </c>
      <c r="P386" s="6">
        <f t="shared" si="5"/>
        <v>0</v>
      </c>
      <c r="Q386" s="6">
        <v>0</v>
      </c>
      <c r="R386" s="32">
        <v>0</v>
      </c>
      <c r="S386" s="7">
        <v>0</v>
      </c>
      <c r="T386" s="7">
        <v>0</v>
      </c>
      <c r="U386" t="s">
        <v>73</v>
      </c>
    </row>
    <row r="387" spans="1:21" ht="15.75" customHeight="1" x14ac:dyDescent="0.25">
      <c r="A387" t="s">
        <v>36</v>
      </c>
      <c r="B387" t="s">
        <v>58</v>
      </c>
      <c r="C387" t="s">
        <v>15</v>
      </c>
      <c r="D387" t="s">
        <v>67</v>
      </c>
      <c r="E387" t="s">
        <v>20</v>
      </c>
      <c r="F387" t="s">
        <v>17</v>
      </c>
      <c r="G387" t="s">
        <v>18</v>
      </c>
      <c r="H387" s="1">
        <v>0</v>
      </c>
      <c r="I387" s="2">
        <v>7</v>
      </c>
      <c r="J387" s="2">
        <v>7</v>
      </c>
      <c r="K387" s="2">
        <v>0</v>
      </c>
      <c r="L387" s="2">
        <v>0</v>
      </c>
      <c r="M387" s="2">
        <v>0</v>
      </c>
      <c r="N387" s="2">
        <v>0</v>
      </c>
      <c r="O387" s="41">
        <v>0</v>
      </c>
      <c r="P387" s="6">
        <f t="shared" ref="P387:P427" si="6">M387/I387</f>
        <v>0</v>
      </c>
      <c r="Q387" s="6">
        <v>0</v>
      </c>
      <c r="R387" s="32">
        <v>0</v>
      </c>
      <c r="S387" s="7">
        <v>0</v>
      </c>
      <c r="T387" s="7">
        <v>0</v>
      </c>
      <c r="U387" t="s">
        <v>73</v>
      </c>
    </row>
    <row r="388" spans="1:21" ht="15.75" customHeight="1" x14ac:dyDescent="0.25">
      <c r="A388" t="s">
        <v>36</v>
      </c>
      <c r="B388" t="s">
        <v>58</v>
      </c>
      <c r="C388" t="s">
        <v>15</v>
      </c>
      <c r="D388" t="s">
        <v>67</v>
      </c>
      <c r="E388" t="s">
        <v>20</v>
      </c>
      <c r="F388" t="s">
        <v>17</v>
      </c>
      <c r="G388" t="s">
        <v>18</v>
      </c>
      <c r="H388" s="1">
        <v>0</v>
      </c>
      <c r="I388" s="2">
        <v>3</v>
      </c>
      <c r="J388" s="2">
        <v>3</v>
      </c>
      <c r="K388" s="2">
        <v>0</v>
      </c>
      <c r="L388" s="2">
        <v>0</v>
      </c>
      <c r="M388" s="2">
        <v>0</v>
      </c>
      <c r="N388" s="2">
        <v>0</v>
      </c>
      <c r="O388" s="41">
        <v>0</v>
      </c>
      <c r="P388" s="6">
        <f t="shared" si="6"/>
        <v>0</v>
      </c>
      <c r="Q388" s="6">
        <v>0</v>
      </c>
      <c r="R388" s="32">
        <v>0</v>
      </c>
      <c r="S388" s="7">
        <v>0</v>
      </c>
      <c r="T388" s="7">
        <v>0</v>
      </c>
      <c r="U388" t="s">
        <v>73</v>
      </c>
    </row>
    <row r="389" spans="1:21" ht="15.75" customHeight="1" x14ac:dyDescent="0.25">
      <c r="A389" t="s">
        <v>36</v>
      </c>
      <c r="B389" t="s">
        <v>58</v>
      </c>
      <c r="C389" t="s">
        <v>15</v>
      </c>
      <c r="D389" t="s">
        <v>67</v>
      </c>
      <c r="E389" t="s">
        <v>20</v>
      </c>
      <c r="F389" t="s">
        <v>17</v>
      </c>
      <c r="G389" t="s">
        <v>18</v>
      </c>
      <c r="H389" s="1">
        <v>0</v>
      </c>
      <c r="I389" s="2">
        <v>2</v>
      </c>
      <c r="J389" s="2">
        <v>2</v>
      </c>
      <c r="K389" s="2">
        <v>0</v>
      </c>
      <c r="L389" s="2">
        <v>0</v>
      </c>
      <c r="M389" s="2">
        <v>0</v>
      </c>
      <c r="N389" s="2">
        <v>0</v>
      </c>
      <c r="O389" s="41">
        <v>0</v>
      </c>
      <c r="P389" s="6">
        <f t="shared" si="6"/>
        <v>0</v>
      </c>
      <c r="Q389" s="6">
        <v>0</v>
      </c>
      <c r="R389" s="32">
        <v>0</v>
      </c>
      <c r="S389" s="7">
        <v>0</v>
      </c>
      <c r="T389" s="7">
        <v>0</v>
      </c>
      <c r="U389" t="s">
        <v>73</v>
      </c>
    </row>
    <row r="390" spans="1:21" ht="15.75" customHeight="1" x14ac:dyDescent="0.25">
      <c r="A390" t="s">
        <v>14</v>
      </c>
      <c r="B390" t="s">
        <v>55</v>
      </c>
      <c r="C390" t="s">
        <v>15</v>
      </c>
      <c r="D390" t="s">
        <v>67</v>
      </c>
      <c r="E390" t="s">
        <v>16</v>
      </c>
      <c r="F390" t="s">
        <v>17</v>
      </c>
      <c r="G390" t="s">
        <v>33</v>
      </c>
      <c r="H390" s="1">
        <v>5022.12</v>
      </c>
      <c r="I390" s="2">
        <v>6014321</v>
      </c>
      <c r="J390" s="2">
        <v>679301</v>
      </c>
      <c r="K390" s="2">
        <v>26667</v>
      </c>
      <c r="L390" s="2">
        <v>1191803</v>
      </c>
      <c r="M390" s="2">
        <v>1174872</v>
      </c>
      <c r="N390" s="2">
        <v>17334</v>
      </c>
      <c r="O390" s="41">
        <v>1.75445495</v>
      </c>
      <c r="P390" s="6">
        <f t="shared" si="6"/>
        <v>0.19534574227082327</v>
      </c>
      <c r="Q390" s="6">
        <v>0.19534574227082327</v>
      </c>
      <c r="R390" s="32">
        <v>0.83502692988950866</v>
      </c>
      <c r="S390" s="7">
        <v>4.4339169791569157E-3</v>
      </c>
      <c r="T390" s="7">
        <v>3.9256529874091159E-2</v>
      </c>
      <c r="U390" t="s">
        <v>73</v>
      </c>
    </row>
    <row r="391" spans="1:21" ht="15.75" customHeight="1" x14ac:dyDescent="0.25">
      <c r="A391" t="s">
        <v>14</v>
      </c>
      <c r="B391" t="s">
        <v>55</v>
      </c>
      <c r="C391" t="s">
        <v>15</v>
      </c>
      <c r="D391" t="s">
        <v>67</v>
      </c>
      <c r="E391" t="s">
        <v>16</v>
      </c>
      <c r="F391" t="s">
        <v>17</v>
      </c>
      <c r="G391" t="s">
        <v>34</v>
      </c>
      <c r="H391" s="1">
        <v>2394.12</v>
      </c>
      <c r="I391" s="2">
        <v>4944626</v>
      </c>
      <c r="J391" s="2">
        <v>782299</v>
      </c>
      <c r="K391" s="2">
        <v>18676</v>
      </c>
      <c r="L391" s="2">
        <v>272564</v>
      </c>
      <c r="M391" s="2">
        <v>268649</v>
      </c>
      <c r="N391" s="2">
        <v>7782</v>
      </c>
      <c r="O391" s="41">
        <v>0.3484141</v>
      </c>
      <c r="P391" s="6">
        <f t="shared" si="6"/>
        <v>5.4331510613745103E-2</v>
      </c>
      <c r="Q391" s="6">
        <v>5.4331510613745103E-2</v>
      </c>
      <c r="R391" s="32">
        <v>0.48418626605935411</v>
      </c>
      <c r="S391" s="7">
        <v>3.7770298501848269E-3</v>
      </c>
      <c r="T391" s="7">
        <v>2.3873224943403989E-2</v>
      </c>
      <c r="U391" t="s">
        <v>73</v>
      </c>
    </row>
    <row r="392" spans="1:21" ht="15.75" customHeight="1" x14ac:dyDescent="0.25">
      <c r="A392" t="s">
        <v>14</v>
      </c>
      <c r="B392" t="s">
        <v>55</v>
      </c>
      <c r="C392" t="s">
        <v>15</v>
      </c>
      <c r="D392" t="s">
        <v>67</v>
      </c>
      <c r="E392" t="s">
        <v>16</v>
      </c>
      <c r="F392" t="s">
        <v>17</v>
      </c>
      <c r="G392" t="s">
        <v>33</v>
      </c>
      <c r="H392" s="1">
        <v>1817.1</v>
      </c>
      <c r="I392" s="2">
        <v>3698744</v>
      </c>
      <c r="J392" s="2">
        <v>618233</v>
      </c>
      <c r="K392" s="2">
        <v>15163</v>
      </c>
      <c r="L392" s="2">
        <v>252826</v>
      </c>
      <c r="M392" s="2">
        <v>247959</v>
      </c>
      <c r="N392" s="2">
        <v>8277</v>
      </c>
      <c r="O392" s="41">
        <v>0.40894937999999997</v>
      </c>
      <c r="P392" s="6">
        <f t="shared" si="6"/>
        <v>6.7038702867784308E-2</v>
      </c>
      <c r="Q392" s="6">
        <v>6.7038702867784308E-2</v>
      </c>
      <c r="R392" s="32">
        <v>0.49127487601196512</v>
      </c>
      <c r="S392" s="7">
        <v>4.0994997220678156E-3</v>
      </c>
      <c r="T392" s="7">
        <v>2.452635171529181E-2</v>
      </c>
      <c r="U392" t="s">
        <v>73</v>
      </c>
    </row>
    <row r="393" spans="1:21" ht="15.75" customHeight="1" x14ac:dyDescent="0.25">
      <c r="A393" t="s">
        <v>14</v>
      </c>
      <c r="B393" t="s">
        <v>55</v>
      </c>
      <c r="C393" t="s">
        <v>15</v>
      </c>
      <c r="D393" t="s">
        <v>67</v>
      </c>
      <c r="E393" t="s">
        <v>16</v>
      </c>
      <c r="F393" t="s">
        <v>17</v>
      </c>
      <c r="G393" t="s">
        <v>34</v>
      </c>
      <c r="H393" s="1">
        <v>812.65</v>
      </c>
      <c r="I393" s="2">
        <v>1693662</v>
      </c>
      <c r="J393" s="2">
        <v>453492</v>
      </c>
      <c r="K393" s="2">
        <v>6074</v>
      </c>
      <c r="L393" s="2">
        <v>94004</v>
      </c>
      <c r="M393" s="2">
        <v>93083</v>
      </c>
      <c r="N393" s="2">
        <v>4325</v>
      </c>
      <c r="O393" s="41">
        <v>0.20728921</v>
      </c>
      <c r="P393" s="6">
        <f t="shared" si="6"/>
        <v>5.495960823352003E-2</v>
      </c>
      <c r="Q393" s="6">
        <v>5.495960823352003E-2</v>
      </c>
      <c r="R393" s="32">
        <v>0.4798182872379495</v>
      </c>
      <c r="S393" s="7">
        <v>3.5863117906642528E-3</v>
      </c>
      <c r="T393" s="7">
        <v>1.339384156721618E-2</v>
      </c>
      <c r="U393" t="s">
        <v>73</v>
      </c>
    </row>
    <row r="394" spans="1:21" ht="15.75" customHeight="1" x14ac:dyDescent="0.25">
      <c r="A394" t="s">
        <v>14</v>
      </c>
      <c r="B394" t="s">
        <v>55</v>
      </c>
      <c r="C394" t="s">
        <v>15</v>
      </c>
      <c r="D394" t="s">
        <v>67</v>
      </c>
      <c r="E394" t="s">
        <v>16</v>
      </c>
      <c r="F394" t="s">
        <v>17</v>
      </c>
      <c r="G394" t="s">
        <v>33</v>
      </c>
      <c r="H394" s="1">
        <v>774.33</v>
      </c>
      <c r="I394" s="2">
        <v>1020810</v>
      </c>
      <c r="J394" s="2">
        <v>153185</v>
      </c>
      <c r="K394" s="2">
        <v>2761</v>
      </c>
      <c r="L394" s="2">
        <v>172555</v>
      </c>
      <c r="M394" s="2">
        <v>170898</v>
      </c>
      <c r="N394" s="2">
        <v>1612</v>
      </c>
      <c r="O394" s="41">
        <v>1.1264484100000001</v>
      </c>
      <c r="P394" s="6">
        <f t="shared" si="6"/>
        <v>0.16741411232256737</v>
      </c>
      <c r="Q394" s="6">
        <v>0.16741411232256737</v>
      </c>
      <c r="R394" s="32">
        <v>0.75854468510300643</v>
      </c>
      <c r="S394" s="7">
        <v>2.7047148832789647E-3</v>
      </c>
      <c r="T394" s="7">
        <v>1.802395795933022E-2</v>
      </c>
      <c r="U394" t="s">
        <v>73</v>
      </c>
    </row>
    <row r="395" spans="1:21" ht="15.75" customHeight="1" x14ac:dyDescent="0.25">
      <c r="A395" t="s">
        <v>14</v>
      </c>
      <c r="B395" t="s">
        <v>55</v>
      </c>
      <c r="C395" t="s">
        <v>15</v>
      </c>
      <c r="D395" t="s">
        <v>67</v>
      </c>
      <c r="E395" t="s">
        <v>16</v>
      </c>
      <c r="F395" t="s">
        <v>17</v>
      </c>
      <c r="G395" t="s">
        <v>34</v>
      </c>
      <c r="H395" s="1">
        <v>660.57</v>
      </c>
      <c r="I395" s="2">
        <v>384737</v>
      </c>
      <c r="J395" s="2">
        <v>166691</v>
      </c>
      <c r="K395" s="2">
        <v>4500</v>
      </c>
      <c r="L395" s="2">
        <v>275911</v>
      </c>
      <c r="M395" s="2">
        <v>271653</v>
      </c>
      <c r="N395" s="2">
        <v>1024</v>
      </c>
      <c r="O395" s="41">
        <v>1.65522434</v>
      </c>
      <c r="P395" s="6">
        <f t="shared" si="6"/>
        <v>0.7060745392306953</v>
      </c>
      <c r="Q395" s="6">
        <v>0.7060745392306953</v>
      </c>
      <c r="R395" s="32">
        <v>1.7169391038553612</v>
      </c>
      <c r="S395" s="7">
        <v>1.1696301629424775E-2</v>
      </c>
      <c r="T395" s="7">
        <v>2.6996058575447981E-2</v>
      </c>
      <c r="U395" t="s">
        <v>73</v>
      </c>
    </row>
    <row r="396" spans="1:21" ht="15.75" customHeight="1" x14ac:dyDescent="0.25">
      <c r="A396" t="s">
        <v>14</v>
      </c>
      <c r="B396" t="s">
        <v>55</v>
      </c>
      <c r="C396" t="s">
        <v>15</v>
      </c>
      <c r="D396" t="s">
        <v>67</v>
      </c>
      <c r="E396" t="s">
        <v>16</v>
      </c>
      <c r="F396" t="s">
        <v>17</v>
      </c>
      <c r="G396" t="s">
        <v>33</v>
      </c>
      <c r="H396" s="1">
        <v>639.01</v>
      </c>
      <c r="I396" s="2">
        <v>871077</v>
      </c>
      <c r="J396" s="2">
        <v>274884</v>
      </c>
      <c r="K396" s="2">
        <v>4412</v>
      </c>
      <c r="L396" s="2">
        <v>156507</v>
      </c>
      <c r="M396" s="2">
        <v>153505</v>
      </c>
      <c r="N396" s="2">
        <v>4221</v>
      </c>
      <c r="O396" s="41">
        <v>0.56935652999999997</v>
      </c>
      <c r="P396" s="6">
        <f t="shared" si="6"/>
        <v>0.17622437511264791</v>
      </c>
      <c r="Q396" s="6">
        <v>0.17622437511264791</v>
      </c>
      <c r="R396" s="32">
        <v>0.73358612384439026</v>
      </c>
      <c r="S396" s="7">
        <v>5.0649942542392926E-3</v>
      </c>
      <c r="T396" s="7">
        <v>1.605040671701518E-2</v>
      </c>
      <c r="U396" t="s">
        <v>73</v>
      </c>
    </row>
    <row r="397" spans="1:21" ht="15.75" customHeight="1" x14ac:dyDescent="0.25">
      <c r="A397" t="s">
        <v>14</v>
      </c>
      <c r="B397" t="s">
        <v>55</v>
      </c>
      <c r="C397" t="s">
        <v>15</v>
      </c>
      <c r="D397" t="s">
        <v>67</v>
      </c>
      <c r="E397" t="s">
        <v>16</v>
      </c>
      <c r="F397" t="s">
        <v>17</v>
      </c>
      <c r="G397" t="s">
        <v>34</v>
      </c>
      <c r="H397" s="1">
        <v>597.04</v>
      </c>
      <c r="I397" s="2">
        <v>543960</v>
      </c>
      <c r="J397" s="2">
        <v>184035</v>
      </c>
      <c r="K397" s="2">
        <v>5011</v>
      </c>
      <c r="L397" s="2">
        <v>188072</v>
      </c>
      <c r="M397" s="2">
        <v>184122</v>
      </c>
      <c r="N397" s="2">
        <v>2094</v>
      </c>
      <c r="O397" s="41">
        <v>1.0219360399999999</v>
      </c>
      <c r="P397" s="6">
        <f t="shared" si="6"/>
        <v>0.33848444738583722</v>
      </c>
      <c r="Q397" s="6">
        <v>0.33848444738583722</v>
      </c>
      <c r="R397" s="32">
        <v>1.0975807044635633</v>
      </c>
      <c r="S397" s="7">
        <v>9.2120744172365619E-3</v>
      </c>
      <c r="T397" s="7">
        <v>2.7228516314831419E-2</v>
      </c>
      <c r="U397" t="s">
        <v>73</v>
      </c>
    </row>
    <row r="398" spans="1:21" ht="15.75" customHeight="1" x14ac:dyDescent="0.25">
      <c r="A398" t="s">
        <v>14</v>
      </c>
      <c r="B398" t="s">
        <v>55</v>
      </c>
      <c r="C398" t="s">
        <v>15</v>
      </c>
      <c r="D398" t="s">
        <v>67</v>
      </c>
      <c r="E398" t="s">
        <v>16</v>
      </c>
      <c r="F398" t="s">
        <v>17</v>
      </c>
      <c r="G398" t="s">
        <v>34</v>
      </c>
      <c r="H398" s="1">
        <v>493.06</v>
      </c>
      <c r="I398" s="2">
        <v>1037101</v>
      </c>
      <c r="J398" s="2">
        <v>300537</v>
      </c>
      <c r="K398" s="2">
        <v>3147</v>
      </c>
      <c r="L398" s="2">
        <v>34933</v>
      </c>
      <c r="M398" s="2">
        <v>33878</v>
      </c>
      <c r="N398" s="2">
        <v>30016</v>
      </c>
      <c r="O398" s="41">
        <v>0.11623527</v>
      </c>
      <c r="P398" s="6">
        <f t="shared" si="6"/>
        <v>3.2666056632864107E-2</v>
      </c>
      <c r="Q398" s="6">
        <v>3.2666056632864107E-2</v>
      </c>
      <c r="R398" s="32">
        <v>0.47542139097349245</v>
      </c>
      <c r="S398" s="7">
        <v>3.0344199841674051E-3</v>
      </c>
      <c r="T398" s="7">
        <v>1.0471256450952791E-2</v>
      </c>
      <c r="U398" t="s">
        <v>73</v>
      </c>
    </row>
    <row r="399" spans="1:21" ht="15.75" customHeight="1" x14ac:dyDescent="0.25">
      <c r="A399" t="s">
        <v>14</v>
      </c>
      <c r="B399" t="s">
        <v>55</v>
      </c>
      <c r="C399" t="s">
        <v>38</v>
      </c>
      <c r="D399" t="s">
        <v>68</v>
      </c>
      <c r="E399" t="s">
        <v>16</v>
      </c>
      <c r="F399" t="s">
        <v>17</v>
      </c>
      <c r="G399" t="s">
        <v>33</v>
      </c>
      <c r="H399" s="1">
        <v>412.21</v>
      </c>
      <c r="I399" s="2">
        <v>192279</v>
      </c>
      <c r="J399" s="2">
        <v>11104</v>
      </c>
      <c r="K399" s="2">
        <v>1331</v>
      </c>
      <c r="L399" s="2">
        <v>41316</v>
      </c>
      <c r="M399" s="2">
        <v>40337</v>
      </c>
      <c r="N399" s="2">
        <v>627</v>
      </c>
      <c r="O399" s="41">
        <v>3.7208213300000001</v>
      </c>
      <c r="P399" s="6">
        <f t="shared" si="6"/>
        <v>0.20978369972799943</v>
      </c>
      <c r="Q399" s="6">
        <v>0.20978369972799943</v>
      </c>
      <c r="R399" s="32">
        <v>2.1438118567290241</v>
      </c>
      <c r="S399" s="7">
        <v>6.9222327971333319E-3</v>
      </c>
      <c r="T399" s="7">
        <v>0.1198667146974063</v>
      </c>
      <c r="U399" t="s">
        <v>73</v>
      </c>
    </row>
    <row r="400" spans="1:21" ht="15.75" customHeight="1" x14ac:dyDescent="0.25">
      <c r="A400" t="s">
        <v>14</v>
      </c>
      <c r="B400" t="s">
        <v>55</v>
      </c>
      <c r="C400" t="s">
        <v>38</v>
      </c>
      <c r="D400" t="s">
        <v>68</v>
      </c>
      <c r="E400" t="s">
        <v>16</v>
      </c>
      <c r="F400" t="s">
        <v>17</v>
      </c>
      <c r="G400" t="s">
        <v>34</v>
      </c>
      <c r="H400" s="1">
        <v>190.57</v>
      </c>
      <c r="I400" s="2">
        <v>117298</v>
      </c>
      <c r="J400" s="2">
        <v>8500</v>
      </c>
      <c r="K400" s="2">
        <v>593</v>
      </c>
      <c r="L400" s="2">
        <v>8190</v>
      </c>
      <c r="M400" s="2">
        <v>8060</v>
      </c>
      <c r="N400" s="2">
        <v>223</v>
      </c>
      <c r="O400" s="41">
        <v>0.96352941000000003</v>
      </c>
      <c r="P400" s="6">
        <f t="shared" si="6"/>
        <v>6.8713874064348923E-2</v>
      </c>
      <c r="Q400" s="6">
        <v>6.8713874064348923E-2</v>
      </c>
      <c r="R400" s="32">
        <v>1.6246653821889545</v>
      </c>
      <c r="S400" s="7">
        <v>5.055499667513513E-3</v>
      </c>
      <c r="T400" s="7">
        <v>6.9764705882352937E-2</v>
      </c>
      <c r="U400" t="s">
        <v>73</v>
      </c>
    </row>
    <row r="401" spans="1:21" ht="15.75" customHeight="1" x14ac:dyDescent="0.25">
      <c r="A401" t="s">
        <v>14</v>
      </c>
      <c r="B401" t="s">
        <v>55</v>
      </c>
      <c r="C401" t="s">
        <v>15</v>
      </c>
      <c r="D401" t="s">
        <v>67</v>
      </c>
      <c r="E401" t="s">
        <v>16</v>
      </c>
      <c r="F401" t="s">
        <v>17</v>
      </c>
      <c r="G401" t="s">
        <v>33</v>
      </c>
      <c r="H401" s="1">
        <v>179.24</v>
      </c>
      <c r="I401" s="2">
        <v>384260</v>
      </c>
      <c r="J401" s="2">
        <v>167932</v>
      </c>
      <c r="K401" s="2">
        <v>1247</v>
      </c>
      <c r="L401" s="2">
        <v>21353</v>
      </c>
      <c r="M401" s="2">
        <v>21049</v>
      </c>
      <c r="N401" s="2">
        <v>1030</v>
      </c>
      <c r="O401" s="41">
        <v>0.12715266</v>
      </c>
      <c r="P401" s="6">
        <f t="shared" si="6"/>
        <v>5.4778014885754435E-2</v>
      </c>
      <c r="Q401" s="6">
        <v>5.4778014885754435E-2</v>
      </c>
      <c r="R401" s="32">
        <v>0.46645500442408788</v>
      </c>
      <c r="S401" s="7">
        <v>3.2451985634726487E-3</v>
      </c>
      <c r="T401" s="7">
        <v>7.4256246575995048E-3</v>
      </c>
      <c r="U401" t="s">
        <v>73</v>
      </c>
    </row>
    <row r="402" spans="1:21" ht="15.75" customHeight="1" x14ac:dyDescent="0.25">
      <c r="A402" t="s">
        <v>14</v>
      </c>
      <c r="B402" t="s">
        <v>55</v>
      </c>
      <c r="C402" t="s">
        <v>15</v>
      </c>
      <c r="D402" t="s">
        <v>67</v>
      </c>
      <c r="E402" t="s">
        <v>16</v>
      </c>
      <c r="F402" t="s">
        <v>17</v>
      </c>
      <c r="G402" t="s">
        <v>18</v>
      </c>
      <c r="H402" s="1">
        <v>161.22999999999999</v>
      </c>
      <c r="I402" s="2">
        <v>337379</v>
      </c>
      <c r="J402" s="2">
        <v>160759</v>
      </c>
      <c r="K402" s="2">
        <v>269</v>
      </c>
      <c r="L402" s="2">
        <v>28456</v>
      </c>
      <c r="M402" s="2">
        <v>28240</v>
      </c>
      <c r="N402" s="2">
        <v>398</v>
      </c>
      <c r="O402" s="41">
        <v>0.17701031</v>
      </c>
      <c r="P402" s="6">
        <f t="shared" si="6"/>
        <v>8.3704083538098106E-2</v>
      </c>
      <c r="Q402" s="6">
        <v>8.3704083538098106E-2</v>
      </c>
      <c r="R402" s="32">
        <v>0.47788985087987096</v>
      </c>
      <c r="S402" s="7">
        <v>7.97322892059079E-4</v>
      </c>
      <c r="T402" s="7">
        <v>1.6733122251320299E-3</v>
      </c>
      <c r="U402" t="s">
        <v>73</v>
      </c>
    </row>
    <row r="403" spans="1:21" ht="15.75" customHeight="1" x14ac:dyDescent="0.25">
      <c r="A403" t="s">
        <v>14</v>
      </c>
      <c r="B403" t="s">
        <v>55</v>
      </c>
      <c r="C403" t="s">
        <v>38</v>
      </c>
      <c r="D403" t="s">
        <v>68</v>
      </c>
      <c r="E403" t="s">
        <v>16</v>
      </c>
      <c r="F403" t="s">
        <v>17</v>
      </c>
      <c r="G403" t="s">
        <v>33</v>
      </c>
      <c r="H403" s="1">
        <v>152.34</v>
      </c>
      <c r="I403" s="2">
        <v>92582</v>
      </c>
      <c r="J403" s="2">
        <v>8678</v>
      </c>
      <c r="K403" s="2">
        <v>551</v>
      </c>
      <c r="L403" s="2">
        <v>9051</v>
      </c>
      <c r="M403" s="2">
        <v>8812</v>
      </c>
      <c r="N403" s="2">
        <v>283</v>
      </c>
      <c r="O403" s="41">
        <v>1.0429822500000001</v>
      </c>
      <c r="P403" s="6">
        <f t="shared" si="6"/>
        <v>9.5180488647901323E-2</v>
      </c>
      <c r="Q403" s="6">
        <v>9.5180488647901323E-2</v>
      </c>
      <c r="R403" s="32">
        <v>1.6454602406515306</v>
      </c>
      <c r="S403" s="7">
        <v>5.9514808494091727E-3</v>
      </c>
      <c r="T403" s="7">
        <v>6.349389260198203E-2</v>
      </c>
      <c r="U403" t="s">
        <v>73</v>
      </c>
    </row>
    <row r="404" spans="1:21" ht="15.75" customHeight="1" x14ac:dyDescent="0.25">
      <c r="A404" t="s">
        <v>14</v>
      </c>
      <c r="B404" t="s">
        <v>55</v>
      </c>
      <c r="C404" t="s">
        <v>38</v>
      </c>
      <c r="D404" t="s">
        <v>68</v>
      </c>
      <c r="E404" t="s">
        <v>16</v>
      </c>
      <c r="F404" t="s">
        <v>17</v>
      </c>
      <c r="G404" t="s">
        <v>34</v>
      </c>
      <c r="H404" s="1">
        <v>139.19999999999999</v>
      </c>
      <c r="I404" s="2">
        <v>32438</v>
      </c>
      <c r="J404" s="2">
        <v>6254</v>
      </c>
      <c r="K404" s="2">
        <v>755</v>
      </c>
      <c r="L404" s="2">
        <v>24100</v>
      </c>
      <c r="M404" s="2">
        <v>23370</v>
      </c>
      <c r="N404" s="2">
        <v>114</v>
      </c>
      <c r="O404" s="41">
        <v>3.85353374</v>
      </c>
      <c r="P404" s="6">
        <f t="shared" si="6"/>
        <v>0.72045132252296684</v>
      </c>
      <c r="Q404" s="6">
        <v>0.72045132252296684</v>
      </c>
      <c r="R404" s="32">
        <v>4.2912633331278123</v>
      </c>
      <c r="S404" s="7">
        <v>2.3275171095628582E-2</v>
      </c>
      <c r="T404" s="7">
        <v>0.1207227374480333</v>
      </c>
      <c r="U404" t="s">
        <v>78</v>
      </c>
    </row>
    <row r="405" spans="1:21" ht="15.75" customHeight="1" x14ac:dyDescent="0.25">
      <c r="A405" t="s">
        <v>14</v>
      </c>
      <c r="B405" t="s">
        <v>55</v>
      </c>
      <c r="C405" t="s">
        <v>15</v>
      </c>
      <c r="D405" t="s">
        <v>67</v>
      </c>
      <c r="E405" t="s">
        <v>16</v>
      </c>
      <c r="F405" t="s">
        <v>17</v>
      </c>
      <c r="G405" t="s">
        <v>34</v>
      </c>
      <c r="H405" s="1">
        <v>137.25</v>
      </c>
      <c r="I405" s="2">
        <v>296643</v>
      </c>
      <c r="J405" s="2">
        <v>118363</v>
      </c>
      <c r="K405" s="2">
        <v>1025</v>
      </c>
      <c r="L405" s="2">
        <v>12605</v>
      </c>
      <c r="M405" s="2">
        <v>12397</v>
      </c>
      <c r="N405" s="2">
        <v>373</v>
      </c>
      <c r="O405" s="41">
        <v>0.10649443</v>
      </c>
      <c r="P405" s="6">
        <f t="shared" si="6"/>
        <v>4.1790974336154904E-2</v>
      </c>
      <c r="Q405" s="6">
        <v>4.1790974336154904E-2</v>
      </c>
      <c r="R405" s="32">
        <v>0.46267735965453421</v>
      </c>
      <c r="S405" s="7">
        <v>3.4553318298426055E-3</v>
      </c>
      <c r="T405" s="7">
        <v>8.659800782339076E-3</v>
      </c>
      <c r="U405" t="s">
        <v>73</v>
      </c>
    </row>
    <row r="406" spans="1:21" ht="15.75" customHeight="1" x14ac:dyDescent="0.25">
      <c r="A406" t="s">
        <v>14</v>
      </c>
      <c r="B406" t="s">
        <v>55</v>
      </c>
      <c r="C406" t="s">
        <v>38</v>
      </c>
      <c r="D406" t="s">
        <v>68</v>
      </c>
      <c r="E406" t="s">
        <v>16</v>
      </c>
      <c r="F406" t="s">
        <v>17</v>
      </c>
      <c r="G406" t="s">
        <v>33</v>
      </c>
      <c r="H406" s="1">
        <v>118.09</v>
      </c>
      <c r="I406" s="2">
        <v>65456</v>
      </c>
      <c r="J406" s="2">
        <v>4878</v>
      </c>
      <c r="K406" s="2">
        <v>333</v>
      </c>
      <c r="L406" s="2">
        <v>11756</v>
      </c>
      <c r="M406" s="2">
        <v>11531</v>
      </c>
      <c r="N406" s="2">
        <v>108</v>
      </c>
      <c r="O406" s="41">
        <v>2.4100041000000001</v>
      </c>
      <c r="P406" s="6">
        <f t="shared" si="6"/>
        <v>0.17616414079687118</v>
      </c>
      <c r="Q406" s="6">
        <v>0.17616414079687118</v>
      </c>
      <c r="R406" s="32">
        <v>1.804112686384747</v>
      </c>
      <c r="S406" s="7">
        <v>5.0873869469567345E-3</v>
      </c>
      <c r="T406" s="7">
        <v>6.8265682656826573E-2</v>
      </c>
      <c r="U406" t="s">
        <v>73</v>
      </c>
    </row>
    <row r="407" spans="1:21" ht="15.75" customHeight="1" x14ac:dyDescent="0.25">
      <c r="A407" t="s">
        <v>14</v>
      </c>
      <c r="B407" t="s">
        <v>55</v>
      </c>
      <c r="C407" t="s">
        <v>38</v>
      </c>
      <c r="D407" t="s">
        <v>68</v>
      </c>
      <c r="E407" t="s">
        <v>16</v>
      </c>
      <c r="F407" t="s">
        <v>17</v>
      </c>
      <c r="G407" t="s">
        <v>34</v>
      </c>
      <c r="H407" s="1">
        <v>116.38</v>
      </c>
      <c r="I407" s="2">
        <v>71918</v>
      </c>
      <c r="J407" s="2">
        <v>8428</v>
      </c>
      <c r="K407" s="2">
        <v>315</v>
      </c>
      <c r="L407" s="2">
        <v>6378</v>
      </c>
      <c r="M407" s="2">
        <v>6318</v>
      </c>
      <c r="N407" s="2">
        <v>240</v>
      </c>
      <c r="O407" s="41">
        <v>0.75676317000000004</v>
      </c>
      <c r="P407" s="6">
        <f t="shared" si="6"/>
        <v>8.7850051447481856E-2</v>
      </c>
      <c r="Q407" s="6">
        <v>8.7850051447481856E-2</v>
      </c>
      <c r="R407" s="32">
        <v>1.6182318751911899</v>
      </c>
      <c r="S407" s="7">
        <v>4.379988320031147E-3</v>
      </c>
      <c r="T407" s="7">
        <v>3.7375415282392029E-2</v>
      </c>
      <c r="U407" t="s">
        <v>73</v>
      </c>
    </row>
    <row r="408" spans="1:21" ht="15.75" customHeight="1" x14ac:dyDescent="0.25">
      <c r="A408" t="s">
        <v>14</v>
      </c>
      <c r="B408" t="s">
        <v>55</v>
      </c>
      <c r="C408" t="s">
        <v>15</v>
      </c>
      <c r="D408" t="s">
        <v>67</v>
      </c>
      <c r="E408" t="s">
        <v>16</v>
      </c>
      <c r="F408" t="s">
        <v>17</v>
      </c>
      <c r="G408" t="s">
        <v>18</v>
      </c>
      <c r="H408" s="1">
        <v>111.56</v>
      </c>
      <c r="I408" s="2">
        <v>241516</v>
      </c>
      <c r="J408" s="2">
        <v>131827</v>
      </c>
      <c r="K408" s="2">
        <v>141</v>
      </c>
      <c r="L408" s="2">
        <v>15407</v>
      </c>
      <c r="M408" s="2">
        <v>15291</v>
      </c>
      <c r="N408" s="2">
        <v>153</v>
      </c>
      <c r="O408" s="41">
        <v>0.11687287</v>
      </c>
      <c r="P408" s="6">
        <f t="shared" si="6"/>
        <v>6.3312575564351839E-2</v>
      </c>
      <c r="Q408" s="6">
        <v>6.3312575564351839E-2</v>
      </c>
      <c r="R408" s="32">
        <v>0.46191556667053119</v>
      </c>
      <c r="S408" s="7">
        <v>5.8381225260438236E-4</v>
      </c>
      <c r="T408" s="7">
        <v>1.06958362095777E-3</v>
      </c>
      <c r="U408" t="s">
        <v>73</v>
      </c>
    </row>
    <row r="409" spans="1:21" ht="15.75" customHeight="1" x14ac:dyDescent="0.25">
      <c r="A409" t="s">
        <v>14</v>
      </c>
      <c r="B409" t="s">
        <v>55</v>
      </c>
      <c r="C409" t="s">
        <v>15</v>
      </c>
      <c r="D409" t="s">
        <v>67</v>
      </c>
      <c r="E409" t="s">
        <v>16</v>
      </c>
      <c r="F409" t="s">
        <v>17</v>
      </c>
      <c r="G409" t="s">
        <v>33</v>
      </c>
      <c r="H409" s="1">
        <v>108</v>
      </c>
      <c r="I409" s="2">
        <v>229721</v>
      </c>
      <c r="J409" s="2">
        <v>89503</v>
      </c>
      <c r="K409" s="2">
        <v>791</v>
      </c>
      <c r="L409" s="2">
        <v>12345</v>
      </c>
      <c r="M409" s="2">
        <v>12151</v>
      </c>
      <c r="N409" s="2">
        <v>366</v>
      </c>
      <c r="O409" s="41">
        <v>0.13792834000000001</v>
      </c>
      <c r="P409" s="6">
        <f t="shared" si="6"/>
        <v>5.289459823002686E-2</v>
      </c>
      <c r="Q409" s="6">
        <v>5.289459823002686E-2</v>
      </c>
      <c r="R409" s="32">
        <v>0.47013551220828742</v>
      </c>
      <c r="S409" s="7">
        <v>3.4433073162662533E-3</v>
      </c>
      <c r="T409" s="7">
        <v>8.8376925913097888E-3</v>
      </c>
      <c r="U409" t="s">
        <v>73</v>
      </c>
    </row>
    <row r="410" spans="1:21" ht="15.75" customHeight="1" x14ac:dyDescent="0.25">
      <c r="A410" t="s">
        <v>14</v>
      </c>
      <c r="B410" t="s">
        <v>55</v>
      </c>
      <c r="C410" t="s">
        <v>38</v>
      </c>
      <c r="D410" t="s">
        <v>68</v>
      </c>
      <c r="E410" t="s">
        <v>16</v>
      </c>
      <c r="F410" t="s">
        <v>17</v>
      </c>
      <c r="G410" t="s">
        <v>34</v>
      </c>
      <c r="H410" s="1">
        <v>89.99</v>
      </c>
      <c r="I410" s="2">
        <v>26144</v>
      </c>
      <c r="J410" s="2">
        <v>5840</v>
      </c>
      <c r="K410" s="2">
        <v>428</v>
      </c>
      <c r="L410" s="2">
        <v>14319</v>
      </c>
      <c r="M410" s="2">
        <v>13922</v>
      </c>
      <c r="N410" s="2">
        <v>84</v>
      </c>
      <c r="O410" s="41">
        <v>2.4518835600000002</v>
      </c>
      <c r="P410" s="6">
        <f t="shared" si="6"/>
        <v>0.53251223990208074</v>
      </c>
      <c r="Q410" s="6">
        <v>0.53251223990208074</v>
      </c>
      <c r="R410" s="32">
        <v>3.4420899632802935</v>
      </c>
      <c r="S410" s="7">
        <v>1.6370869033047734E-2</v>
      </c>
      <c r="T410" s="7">
        <v>7.3287671232876717E-2</v>
      </c>
      <c r="U410" t="s">
        <v>78</v>
      </c>
    </row>
    <row r="411" spans="1:21" ht="15.75" customHeight="1" x14ac:dyDescent="0.25">
      <c r="A411" t="s">
        <v>14</v>
      </c>
      <c r="B411" t="s">
        <v>55</v>
      </c>
      <c r="C411" t="s">
        <v>38</v>
      </c>
      <c r="D411" t="s">
        <v>68</v>
      </c>
      <c r="E411" t="s">
        <v>16</v>
      </c>
      <c r="F411" t="s">
        <v>17</v>
      </c>
      <c r="G411" t="s">
        <v>33</v>
      </c>
      <c r="H411" s="1">
        <v>77.89</v>
      </c>
      <c r="I411" s="2">
        <v>33945</v>
      </c>
      <c r="J411" s="2">
        <v>6162</v>
      </c>
      <c r="K411" s="2">
        <v>316</v>
      </c>
      <c r="L411" s="2">
        <v>9829</v>
      </c>
      <c r="M411" s="2">
        <v>9561</v>
      </c>
      <c r="N411" s="2">
        <v>179</v>
      </c>
      <c r="O411" s="41">
        <v>1.5950989900000001</v>
      </c>
      <c r="P411" s="6">
        <f t="shared" si="6"/>
        <v>0.28166151126822803</v>
      </c>
      <c r="Q411" s="6">
        <v>0.28166151126822803</v>
      </c>
      <c r="R411" s="32">
        <v>2.2945941964943293</v>
      </c>
      <c r="S411" s="7">
        <v>9.3091766092207977E-3</v>
      </c>
      <c r="T411" s="7">
        <v>5.128205128205128E-2</v>
      </c>
      <c r="U411" t="s">
        <v>73</v>
      </c>
    </row>
    <row r="412" spans="1:21" ht="15.75" customHeight="1" x14ac:dyDescent="0.25">
      <c r="A412" t="s">
        <v>14</v>
      </c>
      <c r="B412" t="s">
        <v>55</v>
      </c>
      <c r="C412" t="s">
        <v>15</v>
      </c>
      <c r="D412" t="s">
        <v>67</v>
      </c>
      <c r="E412" t="s">
        <v>16</v>
      </c>
      <c r="F412" t="s">
        <v>17</v>
      </c>
      <c r="G412" t="s">
        <v>18</v>
      </c>
      <c r="H412" s="1">
        <v>65.87</v>
      </c>
      <c r="I412" s="2">
        <v>140618</v>
      </c>
      <c r="J412" s="2">
        <v>87541</v>
      </c>
      <c r="K412" s="2">
        <v>72</v>
      </c>
      <c r="L412" s="2">
        <v>11794</v>
      </c>
      <c r="M412" s="2">
        <v>11730</v>
      </c>
      <c r="N412" s="2">
        <v>324</v>
      </c>
      <c r="O412" s="41">
        <v>0.13472544</v>
      </c>
      <c r="P412" s="6">
        <f t="shared" si="6"/>
        <v>8.341748567039782E-2</v>
      </c>
      <c r="Q412" s="6">
        <v>8.341748567039782E-2</v>
      </c>
      <c r="R412" s="32">
        <v>0.46843220640316319</v>
      </c>
      <c r="S412" s="7">
        <v>5.1202548749093287E-4</v>
      </c>
      <c r="T412" s="7">
        <v>8.224717560914314E-4</v>
      </c>
      <c r="U412" t="s">
        <v>73</v>
      </c>
    </row>
    <row r="413" spans="1:21" ht="15.75" customHeight="1" x14ac:dyDescent="0.25">
      <c r="A413" t="s">
        <v>14</v>
      </c>
      <c r="B413" t="s">
        <v>55</v>
      </c>
      <c r="C413" t="s">
        <v>38</v>
      </c>
      <c r="D413" t="s">
        <v>68</v>
      </c>
      <c r="E413" t="s">
        <v>16</v>
      </c>
      <c r="F413" t="s">
        <v>17</v>
      </c>
      <c r="G413" t="s">
        <v>34</v>
      </c>
      <c r="H413" s="1">
        <v>61.07</v>
      </c>
      <c r="I413" s="2">
        <v>38905</v>
      </c>
      <c r="J413" s="2">
        <v>4696</v>
      </c>
      <c r="K413" s="2">
        <v>183</v>
      </c>
      <c r="L413" s="2">
        <v>2316</v>
      </c>
      <c r="M413" s="2">
        <v>2287</v>
      </c>
      <c r="N413" s="2">
        <v>76</v>
      </c>
      <c r="O413" s="41">
        <v>0.49318569000000001</v>
      </c>
      <c r="P413" s="6">
        <f t="shared" si="6"/>
        <v>5.8784217966842307E-2</v>
      </c>
      <c r="Q413" s="6">
        <v>5.8784217966842307E-2</v>
      </c>
      <c r="R413" s="32">
        <v>1.5697211155378485</v>
      </c>
      <c r="S413" s="7">
        <v>4.7037655828299704E-3</v>
      </c>
      <c r="T413" s="7">
        <v>3.896933560477002E-2</v>
      </c>
      <c r="U413" t="s">
        <v>73</v>
      </c>
    </row>
    <row r="414" spans="1:21" ht="15.75" customHeight="1" x14ac:dyDescent="0.25">
      <c r="A414" t="s">
        <v>14</v>
      </c>
      <c r="B414" t="s">
        <v>55</v>
      </c>
      <c r="C414" t="s">
        <v>38</v>
      </c>
      <c r="D414" t="s">
        <v>68</v>
      </c>
      <c r="E414" t="s">
        <v>16</v>
      </c>
      <c r="F414" t="s">
        <v>17</v>
      </c>
      <c r="G414" t="s">
        <v>33</v>
      </c>
      <c r="H414" s="1">
        <v>59.89</v>
      </c>
      <c r="I414" s="2">
        <v>39145</v>
      </c>
      <c r="J414" s="2">
        <v>5396</v>
      </c>
      <c r="K414" s="2">
        <v>179</v>
      </c>
      <c r="L414" s="2">
        <v>3949</v>
      </c>
      <c r="M414" s="2">
        <v>3917</v>
      </c>
      <c r="N414" s="2">
        <v>65</v>
      </c>
      <c r="O414" s="41">
        <v>0.7318384</v>
      </c>
      <c r="P414" s="6">
        <f t="shared" si="6"/>
        <v>0.10006386511687317</v>
      </c>
      <c r="Q414" s="6">
        <v>0.10006386511687317</v>
      </c>
      <c r="R414" s="32">
        <v>1.5299527398135138</v>
      </c>
      <c r="S414" s="7">
        <v>4.5727423681185334E-3</v>
      </c>
      <c r="T414" s="7">
        <v>3.3172720533728689E-2</v>
      </c>
      <c r="U414" t="s">
        <v>73</v>
      </c>
    </row>
    <row r="415" spans="1:21" ht="15.75" customHeight="1" x14ac:dyDescent="0.25">
      <c r="A415" t="s">
        <v>14</v>
      </c>
      <c r="B415" t="s">
        <v>55</v>
      </c>
      <c r="C415" t="s">
        <v>38</v>
      </c>
      <c r="D415" t="s">
        <v>68</v>
      </c>
      <c r="E415" t="s">
        <v>16</v>
      </c>
      <c r="F415" t="s">
        <v>17</v>
      </c>
      <c r="G415" t="s">
        <v>34</v>
      </c>
      <c r="H415" s="1">
        <v>47.23</v>
      </c>
      <c r="I415" s="2">
        <v>30836</v>
      </c>
      <c r="J415" s="2">
        <v>5700</v>
      </c>
      <c r="K415" s="2">
        <v>139</v>
      </c>
      <c r="L415" s="2">
        <v>1603</v>
      </c>
      <c r="M415" s="2">
        <v>1537</v>
      </c>
      <c r="N415" s="2">
        <v>1420</v>
      </c>
      <c r="O415" s="41">
        <v>0.28122807</v>
      </c>
      <c r="P415" s="6">
        <f t="shared" si="6"/>
        <v>4.9844337787002202E-2</v>
      </c>
      <c r="Q415" s="6">
        <v>4.9844337787002202E-2</v>
      </c>
      <c r="R415" s="32">
        <v>1.5316513166428849</v>
      </c>
      <c r="S415" s="7">
        <v>4.5077182513944738E-3</v>
      </c>
      <c r="T415" s="7">
        <v>2.4385964912280698E-2</v>
      </c>
      <c r="U415" t="s">
        <v>73</v>
      </c>
    </row>
    <row r="416" spans="1:21" ht="15.75" customHeight="1" x14ac:dyDescent="0.25">
      <c r="A416" t="s">
        <v>14</v>
      </c>
      <c r="B416" t="s">
        <v>55</v>
      </c>
      <c r="C416" t="s">
        <v>15</v>
      </c>
      <c r="D416" t="s">
        <v>67</v>
      </c>
      <c r="E416" t="s">
        <v>16</v>
      </c>
      <c r="F416" t="s">
        <v>17</v>
      </c>
      <c r="G416" t="s">
        <v>34</v>
      </c>
      <c r="H416" s="1">
        <v>44.04</v>
      </c>
      <c r="I416" s="2">
        <v>33311</v>
      </c>
      <c r="J416" s="2">
        <v>18164</v>
      </c>
      <c r="K416" s="2">
        <v>361</v>
      </c>
      <c r="L416" s="2">
        <v>18201</v>
      </c>
      <c r="M416" s="2">
        <v>17879</v>
      </c>
      <c r="N416" s="2">
        <v>50</v>
      </c>
      <c r="O416" s="41">
        <v>1.0020370000000001</v>
      </c>
      <c r="P416" s="6">
        <f t="shared" si="6"/>
        <v>0.53672960883792142</v>
      </c>
      <c r="Q416" s="6">
        <v>0.53672960883792142</v>
      </c>
      <c r="R416" s="32">
        <v>1.3220857974843145</v>
      </c>
      <c r="S416" s="7">
        <v>1.0837260964846447E-2</v>
      </c>
      <c r="T416" s="7">
        <v>1.9874476987447699E-2</v>
      </c>
      <c r="U416" t="s">
        <v>73</v>
      </c>
    </row>
    <row r="417" spans="1:21" ht="15.75" customHeight="1" x14ac:dyDescent="0.25">
      <c r="A417" t="s">
        <v>14</v>
      </c>
      <c r="B417" t="s">
        <v>55</v>
      </c>
      <c r="C417" t="s">
        <v>38</v>
      </c>
      <c r="D417" t="s">
        <v>68</v>
      </c>
      <c r="E417" t="s">
        <v>16</v>
      </c>
      <c r="F417" t="s">
        <v>17</v>
      </c>
      <c r="G417" t="s">
        <v>33</v>
      </c>
      <c r="H417" s="1">
        <v>42.86</v>
      </c>
      <c r="I417" s="2">
        <v>27121</v>
      </c>
      <c r="J417" s="2">
        <v>5618</v>
      </c>
      <c r="K417" s="2">
        <v>132</v>
      </c>
      <c r="L417" s="2">
        <v>2710</v>
      </c>
      <c r="M417" s="2">
        <v>2683</v>
      </c>
      <c r="N417" s="2">
        <v>163</v>
      </c>
      <c r="O417" s="41">
        <v>0.48237806999999999</v>
      </c>
      <c r="P417" s="6">
        <f t="shared" si="6"/>
        <v>9.8927030714206707E-2</v>
      </c>
      <c r="Q417" s="6">
        <v>9.8927030714206707E-2</v>
      </c>
      <c r="R417" s="32">
        <v>1.5803252092474467</v>
      </c>
      <c r="S417" s="7">
        <v>4.8670771726706244E-3</v>
      </c>
      <c r="T417" s="7">
        <v>2.3495906016375939E-2</v>
      </c>
      <c r="U417" t="s">
        <v>73</v>
      </c>
    </row>
    <row r="418" spans="1:21" ht="15.75" customHeight="1" x14ac:dyDescent="0.25">
      <c r="A418" t="s">
        <v>14</v>
      </c>
      <c r="B418" t="s">
        <v>55</v>
      </c>
      <c r="C418" t="s">
        <v>38</v>
      </c>
      <c r="D418" t="s">
        <v>68</v>
      </c>
      <c r="E418" t="s">
        <v>16</v>
      </c>
      <c r="F418" t="s">
        <v>17</v>
      </c>
      <c r="G418" t="s">
        <v>34</v>
      </c>
      <c r="H418" s="1">
        <v>15.67</v>
      </c>
      <c r="I418" s="2">
        <v>4147</v>
      </c>
      <c r="J418" s="2">
        <v>1360</v>
      </c>
      <c r="K418" s="2">
        <v>67</v>
      </c>
      <c r="L418" s="2">
        <v>2764</v>
      </c>
      <c r="M418" s="2">
        <v>2703</v>
      </c>
      <c r="N418" s="2">
        <v>6</v>
      </c>
      <c r="O418" s="41">
        <v>2.03235294</v>
      </c>
      <c r="P418" s="6">
        <f t="shared" si="6"/>
        <v>0.65179647938268626</v>
      </c>
      <c r="Q418" s="6">
        <v>0.65179647938268626</v>
      </c>
      <c r="R418" s="32">
        <v>3.7786351579455029</v>
      </c>
      <c r="S418" s="7">
        <v>1.6156257535567882E-2</v>
      </c>
      <c r="T418" s="7">
        <v>4.926470588235294E-2</v>
      </c>
      <c r="U418" t="s">
        <v>78</v>
      </c>
    </row>
    <row r="419" spans="1:21" ht="15.75" customHeight="1" x14ac:dyDescent="0.25">
      <c r="A419" t="s">
        <v>14</v>
      </c>
      <c r="B419" t="s">
        <v>55</v>
      </c>
      <c r="C419" t="s">
        <v>38</v>
      </c>
      <c r="D419" t="s">
        <v>68</v>
      </c>
      <c r="E419" t="s">
        <v>16</v>
      </c>
      <c r="F419" t="s">
        <v>17</v>
      </c>
      <c r="G419" t="s">
        <v>18</v>
      </c>
      <c r="H419" s="1">
        <v>15.49</v>
      </c>
      <c r="I419" s="2">
        <v>8980</v>
      </c>
      <c r="J419" s="2">
        <v>3302</v>
      </c>
      <c r="K419" s="2">
        <v>5</v>
      </c>
      <c r="L419" s="2">
        <v>449</v>
      </c>
      <c r="M419" s="2">
        <v>445</v>
      </c>
      <c r="N419" s="2">
        <v>3</v>
      </c>
      <c r="O419" s="41">
        <v>0.13597819999999999</v>
      </c>
      <c r="P419" s="6">
        <f t="shared" si="6"/>
        <v>4.9554565701559021E-2</v>
      </c>
      <c r="Q419" s="6">
        <v>4.9554565701559021E-2</v>
      </c>
      <c r="R419" s="32">
        <v>1.7249443207126949</v>
      </c>
      <c r="S419" s="7">
        <v>5.5679287305122492E-4</v>
      </c>
      <c r="T419" s="7">
        <v>1.5142337976983651E-3</v>
      </c>
      <c r="U419" t="s">
        <v>73</v>
      </c>
    </row>
    <row r="420" spans="1:21" ht="15.75" customHeight="1" x14ac:dyDescent="0.25">
      <c r="A420" t="s">
        <v>14</v>
      </c>
      <c r="B420" t="s">
        <v>55</v>
      </c>
      <c r="C420" t="s">
        <v>38</v>
      </c>
      <c r="D420" t="s">
        <v>68</v>
      </c>
      <c r="E420" t="s">
        <v>16</v>
      </c>
      <c r="F420" t="s">
        <v>17</v>
      </c>
      <c r="G420" t="s">
        <v>18</v>
      </c>
      <c r="H420" s="1">
        <v>10.69</v>
      </c>
      <c r="I420" s="2">
        <v>6184</v>
      </c>
      <c r="J420" s="2">
        <v>2331</v>
      </c>
      <c r="K420" s="2">
        <v>3</v>
      </c>
      <c r="L420" s="2">
        <v>426</v>
      </c>
      <c r="M420" s="2">
        <v>424</v>
      </c>
      <c r="N420" s="2">
        <v>8</v>
      </c>
      <c r="O420" s="41">
        <v>0.18275417999999999</v>
      </c>
      <c r="P420" s="6">
        <f t="shared" si="6"/>
        <v>6.85640362225097E-2</v>
      </c>
      <c r="Q420" s="6">
        <v>6.85640362225097E-2</v>
      </c>
      <c r="R420" s="32">
        <v>1.7286545924967656</v>
      </c>
      <c r="S420" s="7">
        <v>4.8512289780077621E-4</v>
      </c>
      <c r="T420" s="7">
        <v>1.287001287001287E-3</v>
      </c>
      <c r="U420" t="s">
        <v>73</v>
      </c>
    </row>
    <row r="421" spans="1:21" ht="15.75" customHeight="1" x14ac:dyDescent="0.25">
      <c r="A421" t="s">
        <v>14</v>
      </c>
      <c r="B421" t="s">
        <v>55</v>
      </c>
      <c r="C421" t="s">
        <v>38</v>
      </c>
      <c r="D421" t="s">
        <v>68</v>
      </c>
      <c r="E421" t="s">
        <v>16</v>
      </c>
      <c r="F421" t="s">
        <v>17</v>
      </c>
      <c r="G421" t="s">
        <v>18</v>
      </c>
      <c r="H421" s="1">
        <v>7.48</v>
      </c>
      <c r="I421" s="2">
        <v>4494</v>
      </c>
      <c r="J421" s="2">
        <v>2103</v>
      </c>
      <c r="K421" s="2">
        <v>2</v>
      </c>
      <c r="L421" s="2">
        <v>347</v>
      </c>
      <c r="M421" s="2">
        <v>344</v>
      </c>
      <c r="N421" s="2">
        <v>13</v>
      </c>
      <c r="O421" s="41">
        <v>0.16500238</v>
      </c>
      <c r="P421" s="6">
        <f t="shared" si="6"/>
        <v>7.6546506453048516E-2</v>
      </c>
      <c r="Q421" s="6">
        <v>7.6546506453048516E-2</v>
      </c>
      <c r="R421" s="32">
        <v>1.6644414775255898</v>
      </c>
      <c r="S421" s="7">
        <v>4.450378282153983E-4</v>
      </c>
      <c r="T421" s="7">
        <v>9.5102234902520212E-4</v>
      </c>
      <c r="U421" t="s">
        <v>73</v>
      </c>
    </row>
    <row r="422" spans="1:21" ht="15.75" customHeight="1" x14ac:dyDescent="0.25">
      <c r="A422" t="s">
        <v>14</v>
      </c>
      <c r="B422" t="s">
        <v>55</v>
      </c>
      <c r="C422" t="s">
        <v>15</v>
      </c>
      <c r="D422" t="s">
        <v>67</v>
      </c>
      <c r="E422" t="s">
        <v>16</v>
      </c>
      <c r="F422" t="s">
        <v>17</v>
      </c>
      <c r="G422" t="s">
        <v>34</v>
      </c>
      <c r="H422" s="1">
        <v>5.45</v>
      </c>
      <c r="I422" s="2">
        <v>7944</v>
      </c>
      <c r="J422" s="2">
        <v>4540</v>
      </c>
      <c r="K422" s="2">
        <v>52</v>
      </c>
      <c r="L422" s="2">
        <v>1167</v>
      </c>
      <c r="M422" s="2">
        <v>1139</v>
      </c>
      <c r="N422" s="2">
        <v>1007</v>
      </c>
      <c r="O422" s="41">
        <v>0.25704845999999998</v>
      </c>
      <c r="P422" s="6">
        <f t="shared" si="6"/>
        <v>0.14337865055387713</v>
      </c>
      <c r="Q422" s="6">
        <v>0.14337865055387713</v>
      </c>
      <c r="R422" s="32">
        <v>0.6860523665659618</v>
      </c>
      <c r="S422" s="7">
        <v>6.545820745216516E-3</v>
      </c>
      <c r="T422" s="7">
        <v>1.145374449339207E-2</v>
      </c>
      <c r="U422" t="s">
        <v>73</v>
      </c>
    </row>
    <row r="423" spans="1:21" ht="15.75" customHeight="1" x14ac:dyDescent="0.25">
      <c r="A423" t="s">
        <v>14</v>
      </c>
      <c r="B423" t="s">
        <v>55</v>
      </c>
      <c r="C423" t="s">
        <v>38</v>
      </c>
      <c r="D423" t="s">
        <v>68</v>
      </c>
      <c r="E423" t="s">
        <v>16</v>
      </c>
      <c r="F423" t="s">
        <v>17</v>
      </c>
      <c r="G423" t="s">
        <v>34</v>
      </c>
      <c r="H423" s="1">
        <v>1.02</v>
      </c>
      <c r="I423" s="2">
        <v>598</v>
      </c>
      <c r="J423" s="2">
        <v>333</v>
      </c>
      <c r="K423" s="2">
        <v>3</v>
      </c>
      <c r="L423" s="2">
        <v>91</v>
      </c>
      <c r="M423" s="2">
        <v>90</v>
      </c>
      <c r="N423" s="2">
        <v>75</v>
      </c>
      <c r="O423" s="41">
        <v>0.27327327000000001</v>
      </c>
      <c r="P423" s="6">
        <f t="shared" si="6"/>
        <v>0.15050167224080269</v>
      </c>
      <c r="Q423" s="6">
        <v>0.15050167224080269</v>
      </c>
      <c r="R423" s="32">
        <v>1.705685618729097</v>
      </c>
      <c r="S423" s="7">
        <v>5.016722408026756E-3</v>
      </c>
      <c r="T423" s="7">
        <v>9.0090090090090089E-3</v>
      </c>
      <c r="U423" t="s">
        <v>73</v>
      </c>
    </row>
    <row r="424" spans="1:21" ht="15.75" customHeight="1" x14ac:dyDescent="0.25">
      <c r="A424" t="s">
        <v>14</v>
      </c>
      <c r="B424" t="s">
        <v>55</v>
      </c>
      <c r="C424" t="s">
        <v>38</v>
      </c>
      <c r="D424" t="s">
        <v>68</v>
      </c>
      <c r="E424" t="s">
        <v>16</v>
      </c>
      <c r="F424" t="s">
        <v>17</v>
      </c>
      <c r="G424" t="s">
        <v>18</v>
      </c>
      <c r="H424" s="1">
        <v>0</v>
      </c>
      <c r="I424" s="2">
        <v>1</v>
      </c>
      <c r="J424" s="2">
        <v>1</v>
      </c>
      <c r="K424" s="2">
        <v>0</v>
      </c>
      <c r="L424" s="2">
        <v>0</v>
      </c>
      <c r="M424" s="2">
        <v>0</v>
      </c>
      <c r="N424" s="2">
        <v>0</v>
      </c>
      <c r="O424" s="41">
        <v>0</v>
      </c>
      <c r="P424" s="6">
        <f t="shared" si="6"/>
        <v>0</v>
      </c>
      <c r="Q424" s="6">
        <v>0</v>
      </c>
      <c r="R424" s="32">
        <v>0</v>
      </c>
      <c r="S424" s="7">
        <v>0</v>
      </c>
      <c r="T424" s="7">
        <v>0</v>
      </c>
      <c r="U424" t="s">
        <v>73</v>
      </c>
    </row>
    <row r="425" spans="1:21" ht="15.75" customHeight="1" x14ac:dyDescent="0.25">
      <c r="A425" t="s">
        <v>14</v>
      </c>
      <c r="B425" t="s">
        <v>55</v>
      </c>
      <c r="C425" t="s">
        <v>15</v>
      </c>
      <c r="D425" t="s">
        <v>67</v>
      </c>
      <c r="E425" t="s">
        <v>16</v>
      </c>
      <c r="F425" t="s">
        <v>17</v>
      </c>
      <c r="G425" t="s">
        <v>18</v>
      </c>
      <c r="H425" s="1">
        <v>0</v>
      </c>
      <c r="I425" s="2">
        <v>1</v>
      </c>
      <c r="J425" s="2">
        <v>1</v>
      </c>
      <c r="K425" s="2">
        <v>0</v>
      </c>
      <c r="L425" s="2">
        <v>0</v>
      </c>
      <c r="M425" s="2">
        <v>0</v>
      </c>
      <c r="N425" s="2">
        <v>0</v>
      </c>
      <c r="O425" s="41">
        <v>0</v>
      </c>
      <c r="P425" s="6">
        <f t="shared" si="6"/>
        <v>0</v>
      </c>
      <c r="Q425" s="6">
        <v>0</v>
      </c>
      <c r="R425" s="32">
        <v>0</v>
      </c>
      <c r="S425" s="7">
        <v>0</v>
      </c>
      <c r="T425" s="7">
        <v>0</v>
      </c>
      <c r="U425" t="s">
        <v>73</v>
      </c>
    </row>
    <row r="426" spans="1:21" ht="15.75" customHeight="1" x14ac:dyDescent="0.25">
      <c r="A426" t="s">
        <v>14</v>
      </c>
      <c r="B426" t="s">
        <v>55</v>
      </c>
      <c r="C426" t="s">
        <v>15</v>
      </c>
      <c r="D426" t="s">
        <v>67</v>
      </c>
      <c r="E426" t="s">
        <v>16</v>
      </c>
      <c r="F426" t="s">
        <v>17</v>
      </c>
      <c r="G426" t="s">
        <v>18</v>
      </c>
      <c r="H426" s="1">
        <v>0</v>
      </c>
      <c r="I426" s="2">
        <v>2</v>
      </c>
      <c r="J426" s="2">
        <v>2</v>
      </c>
      <c r="K426" s="2">
        <v>0</v>
      </c>
      <c r="L426" s="2">
        <v>0</v>
      </c>
      <c r="M426" s="2">
        <v>0</v>
      </c>
      <c r="N426" s="2">
        <v>0</v>
      </c>
      <c r="O426" s="41">
        <v>0</v>
      </c>
      <c r="P426" s="6">
        <f t="shared" si="6"/>
        <v>0</v>
      </c>
      <c r="Q426" s="6">
        <v>0</v>
      </c>
      <c r="R426" s="32">
        <v>0</v>
      </c>
      <c r="S426" s="7">
        <v>0</v>
      </c>
      <c r="T426" s="7">
        <v>0</v>
      </c>
      <c r="U426" t="s">
        <v>73</v>
      </c>
    </row>
    <row r="427" spans="1:21" ht="15.75" customHeight="1" x14ac:dyDescent="0.25">
      <c r="A427" t="s">
        <v>14</v>
      </c>
      <c r="B427" t="s">
        <v>55</v>
      </c>
      <c r="C427" t="s">
        <v>15</v>
      </c>
      <c r="D427" t="s">
        <v>67</v>
      </c>
      <c r="E427" t="s">
        <v>16</v>
      </c>
      <c r="F427" t="s">
        <v>17</v>
      </c>
      <c r="G427" t="s">
        <v>18</v>
      </c>
      <c r="H427" s="1">
        <v>0</v>
      </c>
      <c r="I427" s="2">
        <v>3</v>
      </c>
      <c r="J427" s="2">
        <v>3</v>
      </c>
      <c r="K427" s="2">
        <v>0</v>
      </c>
      <c r="L427" s="2">
        <v>0</v>
      </c>
      <c r="M427" s="2">
        <v>0</v>
      </c>
      <c r="N427" s="2">
        <v>0</v>
      </c>
      <c r="O427" s="41">
        <v>0</v>
      </c>
      <c r="P427" s="6">
        <f t="shared" si="6"/>
        <v>0</v>
      </c>
      <c r="Q427" s="6">
        <v>0</v>
      </c>
      <c r="R427" s="32">
        <v>0</v>
      </c>
      <c r="S427" s="7">
        <v>0</v>
      </c>
      <c r="T427" s="7">
        <v>0</v>
      </c>
      <c r="U427" t="s">
        <v>73</v>
      </c>
    </row>
    <row r="428" spans="1:21" ht="15.75" customHeight="1" x14ac:dyDescent="0.25">
      <c r="P428" s="6"/>
      <c r="R428" s="32"/>
      <c r="S428" s="5"/>
      <c r="U428" s="7">
        <f>COUNTIF(U2:U427,"Good")/COUNTA(U2:U427)</f>
        <v>3.2863849765258218E-2</v>
      </c>
    </row>
    <row r="429" spans="1:21" ht="15.75" customHeight="1" x14ac:dyDescent="0.25"/>
    <row r="430" spans="1:21" ht="15.75" customHeight="1" x14ac:dyDescent="0.25"/>
    <row r="431" spans="1:21" ht="15.75" customHeight="1" x14ac:dyDescent="0.25"/>
    <row r="432" spans="1:21"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U1" xr:uid="{00000000-0001-0000-0100-000000000000}">
    <sortState xmlns:xlrd2="http://schemas.microsoft.com/office/spreadsheetml/2017/richdata2" ref="A2:U428">
      <sortCondition ref="A1"/>
    </sortState>
  </autoFilter>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1000"/>
  <sheetViews>
    <sheetView workbookViewId="0">
      <pane ySplit="1" topLeftCell="A40" activePane="bottomLeft" state="frozen"/>
      <selection pane="bottomLeft" activeCell="E43" sqref="E43"/>
    </sheetView>
  </sheetViews>
  <sheetFormatPr defaultColWidth="14.42578125" defaultRowHeight="15" customHeight="1" x14ac:dyDescent="0.25"/>
  <cols>
    <col min="1" max="1" width="10.5703125" customWidth="1"/>
    <col min="2" max="2" width="27.28515625" customWidth="1"/>
    <col min="3" max="3" width="18.140625" customWidth="1"/>
    <col min="4" max="4" width="15.42578125" customWidth="1"/>
    <col min="5" max="5" width="11.85546875" customWidth="1"/>
    <col min="6" max="6" width="10.5703125" customWidth="1"/>
    <col min="7" max="7" width="19.28515625" customWidth="1"/>
    <col min="8" max="9" width="23.42578125" customWidth="1"/>
    <col min="10" max="10" width="16.7109375" customWidth="1"/>
    <col min="11" max="11" width="11.140625" customWidth="1"/>
    <col min="12" max="12" width="16.28515625" customWidth="1"/>
    <col min="13" max="13" width="22.28515625" customWidth="1"/>
    <col min="14" max="14" width="20.28515625" customWidth="1"/>
    <col min="15" max="15" width="20.140625" customWidth="1"/>
    <col min="16" max="16" width="13.5703125" customWidth="1"/>
    <col min="17" max="17" width="18" customWidth="1"/>
    <col min="18" max="18" width="13.28515625" customWidth="1"/>
    <col min="19" max="19" width="12.28515625" customWidth="1"/>
    <col min="24" max="29" width="8.7109375" customWidth="1"/>
  </cols>
  <sheetData>
    <row r="1" spans="1:20" x14ac:dyDescent="0.25">
      <c r="A1" s="3" t="s">
        <v>0</v>
      </c>
      <c r="B1" s="3" t="s">
        <v>1</v>
      </c>
      <c r="C1" s="3" t="s">
        <v>2</v>
      </c>
      <c r="D1" s="3" t="s">
        <v>65</v>
      </c>
      <c r="E1" s="3" t="s">
        <v>3</v>
      </c>
      <c r="F1" s="3" t="s">
        <v>4</v>
      </c>
      <c r="G1" s="3" t="s">
        <v>5</v>
      </c>
      <c r="H1" s="3" t="s">
        <v>31</v>
      </c>
      <c r="I1" s="3" t="s">
        <v>30</v>
      </c>
      <c r="J1" s="3" t="s">
        <v>29</v>
      </c>
      <c r="K1" s="3" t="s">
        <v>6</v>
      </c>
      <c r="L1" s="3" t="s">
        <v>70</v>
      </c>
      <c r="M1" s="3" t="s">
        <v>9</v>
      </c>
      <c r="N1" s="3" t="s">
        <v>10</v>
      </c>
      <c r="O1" s="3" t="s">
        <v>13</v>
      </c>
      <c r="P1" s="3" t="s">
        <v>11</v>
      </c>
      <c r="Q1" s="3" t="s">
        <v>12</v>
      </c>
      <c r="R1" s="3" t="s">
        <v>8</v>
      </c>
      <c r="S1" s="3" t="s">
        <v>7</v>
      </c>
      <c r="T1" s="3" t="s">
        <v>69</v>
      </c>
    </row>
    <row r="2" spans="1:20" x14ac:dyDescent="0.25">
      <c r="A2" t="s">
        <v>14</v>
      </c>
      <c r="B2" t="s">
        <v>47</v>
      </c>
      <c r="C2" t="s">
        <v>15</v>
      </c>
      <c r="D2" t="s">
        <v>67</v>
      </c>
      <c r="E2" t="s">
        <v>16</v>
      </c>
      <c r="F2" t="s">
        <v>17</v>
      </c>
      <c r="G2" t="s">
        <v>18</v>
      </c>
      <c r="H2" s="1">
        <v>6640.06</v>
      </c>
      <c r="I2" s="2">
        <v>5201668</v>
      </c>
      <c r="J2" s="2">
        <v>3064506</v>
      </c>
      <c r="K2" s="2">
        <v>11347</v>
      </c>
      <c r="L2" s="2">
        <v>30892</v>
      </c>
      <c r="M2" s="2">
        <v>499252</v>
      </c>
      <c r="N2" s="2">
        <v>5692</v>
      </c>
      <c r="O2" s="41">
        <v>5.8999999999999999E-3</v>
      </c>
      <c r="P2" s="7">
        <f t="shared" ref="P2:P33" si="0">(M2/I2)</f>
        <v>9.5979212821733342E-2</v>
      </c>
      <c r="Q2" s="7">
        <f t="shared" ref="Q2:Q33" si="1">(N2/I2)</f>
        <v>1.0942643782725079E-3</v>
      </c>
      <c r="R2" s="1">
        <v>1.28</v>
      </c>
      <c r="S2" s="7">
        <v>2.2000000000000001E-3</v>
      </c>
      <c r="T2" t="str">
        <f>IF(S2&lt;1.5%, "Bad", "Good")</f>
        <v>Bad</v>
      </c>
    </row>
    <row r="3" spans="1:20" x14ac:dyDescent="0.25">
      <c r="A3" t="s">
        <v>14</v>
      </c>
      <c r="B3" t="s">
        <v>47</v>
      </c>
      <c r="C3" t="s">
        <v>15</v>
      </c>
      <c r="D3" t="s">
        <v>67</v>
      </c>
      <c r="E3" t="s">
        <v>16</v>
      </c>
      <c r="F3" t="s">
        <v>17</v>
      </c>
      <c r="G3" t="s">
        <v>18</v>
      </c>
      <c r="H3" s="1">
        <v>6242.05</v>
      </c>
      <c r="I3" s="2">
        <v>4897606</v>
      </c>
      <c r="J3" s="2">
        <v>2927170</v>
      </c>
      <c r="K3" s="2">
        <v>10319</v>
      </c>
      <c r="L3" s="2">
        <v>29129</v>
      </c>
      <c r="M3" s="2">
        <v>670323</v>
      </c>
      <c r="N3" s="2">
        <v>13332</v>
      </c>
      <c r="O3" s="41">
        <v>5.8999999999999999E-3</v>
      </c>
      <c r="P3" s="7">
        <f t="shared" si="0"/>
        <v>0.13686748178599911</v>
      </c>
      <c r="Q3" s="7">
        <f t="shared" si="1"/>
        <v>2.7221462894320204E-3</v>
      </c>
      <c r="R3" s="1">
        <v>1.27</v>
      </c>
      <c r="S3" s="7">
        <v>2.0999999999999999E-3</v>
      </c>
      <c r="T3" t="str">
        <f t="shared" ref="T3:T66" si="2">IF(S3&lt;1.5%, "Bad", "Good")</f>
        <v>Bad</v>
      </c>
    </row>
    <row r="4" spans="1:20" x14ac:dyDescent="0.25">
      <c r="A4" t="s">
        <v>14</v>
      </c>
      <c r="B4" t="s">
        <v>47</v>
      </c>
      <c r="C4" t="s">
        <v>15</v>
      </c>
      <c r="D4" t="s">
        <v>67</v>
      </c>
      <c r="E4" t="s">
        <v>16</v>
      </c>
      <c r="F4" t="s">
        <v>17</v>
      </c>
      <c r="G4" t="s">
        <v>18</v>
      </c>
      <c r="H4" s="1">
        <v>6196.59</v>
      </c>
      <c r="I4" s="2">
        <v>4899758</v>
      </c>
      <c r="J4" s="2">
        <v>2903385</v>
      </c>
      <c r="K4" s="2">
        <v>10100</v>
      </c>
      <c r="L4" s="2">
        <v>28854</v>
      </c>
      <c r="M4" s="2">
        <v>676057</v>
      </c>
      <c r="N4" s="2">
        <v>8223</v>
      </c>
      <c r="O4" s="41">
        <v>5.8999999999999999E-3</v>
      </c>
      <c r="P4" s="7">
        <f t="shared" si="0"/>
        <v>0.13797763073196675</v>
      </c>
      <c r="Q4" s="7">
        <f t="shared" si="1"/>
        <v>1.6782461501159854E-3</v>
      </c>
      <c r="R4" s="1">
        <v>1.26</v>
      </c>
      <c r="S4" s="7">
        <v>2.0999999999999999E-3</v>
      </c>
      <c r="T4" t="str">
        <f t="shared" si="2"/>
        <v>Bad</v>
      </c>
    </row>
    <row r="5" spans="1:20" x14ac:dyDescent="0.25">
      <c r="A5" t="s">
        <v>14</v>
      </c>
      <c r="B5" t="s">
        <v>47</v>
      </c>
      <c r="C5" t="s">
        <v>15</v>
      </c>
      <c r="D5" t="s">
        <v>67</v>
      </c>
      <c r="E5" t="s">
        <v>16</v>
      </c>
      <c r="F5" t="s">
        <v>17</v>
      </c>
      <c r="G5" t="s">
        <v>18</v>
      </c>
      <c r="H5" s="1">
        <v>412.15</v>
      </c>
      <c r="I5" s="2">
        <v>637825</v>
      </c>
      <c r="J5" s="2">
        <v>539004</v>
      </c>
      <c r="K5" s="2">
        <v>0</v>
      </c>
      <c r="L5" s="2">
        <v>1879</v>
      </c>
      <c r="M5" s="2">
        <v>80421</v>
      </c>
      <c r="N5" s="2">
        <v>1387</v>
      </c>
      <c r="O5" s="41">
        <v>2.8999999999999998E-3</v>
      </c>
      <c r="P5" s="7">
        <f t="shared" si="0"/>
        <v>0.12608630894054013</v>
      </c>
      <c r="Q5" s="7">
        <f t="shared" si="1"/>
        <v>2.174577666287775E-3</v>
      </c>
      <c r="R5" s="1">
        <v>0.65</v>
      </c>
      <c r="S5" s="7">
        <v>0</v>
      </c>
      <c r="T5" t="str">
        <f t="shared" si="2"/>
        <v>Bad</v>
      </c>
    </row>
    <row r="6" spans="1:20" x14ac:dyDescent="0.25">
      <c r="A6" t="s">
        <v>14</v>
      </c>
      <c r="B6" t="s">
        <v>47</v>
      </c>
      <c r="C6" t="s">
        <v>15</v>
      </c>
      <c r="D6" t="s">
        <v>67</v>
      </c>
      <c r="E6" t="s">
        <v>16</v>
      </c>
      <c r="F6" t="s">
        <v>17</v>
      </c>
      <c r="G6" t="s">
        <v>18</v>
      </c>
      <c r="H6" s="1">
        <v>405.21</v>
      </c>
      <c r="I6" s="2">
        <v>630921</v>
      </c>
      <c r="J6" s="2">
        <v>534674</v>
      </c>
      <c r="K6" s="2">
        <v>0</v>
      </c>
      <c r="L6" s="2">
        <v>1891</v>
      </c>
      <c r="M6" s="2">
        <v>51336</v>
      </c>
      <c r="N6" s="2">
        <v>497</v>
      </c>
      <c r="O6" s="41">
        <v>3.0000000000000001E-3</v>
      </c>
      <c r="P6" s="7">
        <f t="shared" si="0"/>
        <v>8.1366763826215965E-2</v>
      </c>
      <c r="Q6" s="7">
        <f t="shared" si="1"/>
        <v>7.8773729199059788E-4</v>
      </c>
      <c r="R6" s="1">
        <v>0.64</v>
      </c>
      <c r="S6" s="7">
        <v>0</v>
      </c>
      <c r="T6" t="str">
        <f t="shared" si="2"/>
        <v>Bad</v>
      </c>
    </row>
    <row r="7" spans="1:20" x14ac:dyDescent="0.25">
      <c r="A7" t="s">
        <v>14</v>
      </c>
      <c r="B7" t="s">
        <v>47</v>
      </c>
      <c r="C7" t="s">
        <v>15</v>
      </c>
      <c r="D7" t="s">
        <v>67</v>
      </c>
      <c r="E7" t="s">
        <v>16</v>
      </c>
      <c r="F7" t="s">
        <v>17</v>
      </c>
      <c r="G7" t="s">
        <v>18</v>
      </c>
      <c r="H7" s="1">
        <v>385.44</v>
      </c>
      <c r="I7" s="2">
        <v>605984</v>
      </c>
      <c r="J7" s="2">
        <v>512892</v>
      </c>
      <c r="K7" s="2">
        <v>0</v>
      </c>
      <c r="L7" s="2">
        <v>1723</v>
      </c>
      <c r="M7" s="2">
        <v>80282</v>
      </c>
      <c r="N7" s="2">
        <v>761</v>
      </c>
      <c r="O7" s="41">
        <v>2.8E-3</v>
      </c>
      <c r="P7" s="7">
        <f t="shared" si="0"/>
        <v>0.13248204573058034</v>
      </c>
      <c r="Q7" s="7">
        <f t="shared" si="1"/>
        <v>1.255808734224006E-3</v>
      </c>
      <c r="R7" s="1">
        <v>0.64</v>
      </c>
      <c r="S7" s="7">
        <v>0</v>
      </c>
      <c r="T7" t="str">
        <f t="shared" si="2"/>
        <v>Bad</v>
      </c>
    </row>
    <row r="8" spans="1:20" x14ac:dyDescent="0.25">
      <c r="A8" t="s">
        <v>14</v>
      </c>
      <c r="B8" t="s">
        <v>48</v>
      </c>
      <c r="C8" t="s">
        <v>38</v>
      </c>
      <c r="D8" t="s">
        <v>68</v>
      </c>
      <c r="E8" t="s">
        <v>16</v>
      </c>
      <c r="F8" t="s">
        <v>17</v>
      </c>
      <c r="G8" t="s">
        <v>18</v>
      </c>
      <c r="H8" s="1">
        <v>90.85</v>
      </c>
      <c r="I8" s="2">
        <v>13789</v>
      </c>
      <c r="J8" s="2">
        <v>9481</v>
      </c>
      <c r="K8" s="2">
        <v>50</v>
      </c>
      <c r="L8" s="2">
        <v>151</v>
      </c>
      <c r="M8" s="2">
        <v>2629</v>
      </c>
      <c r="N8" s="2">
        <v>106</v>
      </c>
      <c r="O8" s="41">
        <v>1.0999999999999999E-2</v>
      </c>
      <c r="P8" s="7">
        <f t="shared" si="0"/>
        <v>0.19065922111828268</v>
      </c>
      <c r="Q8" s="7">
        <f t="shared" si="1"/>
        <v>7.6872869678729422E-3</v>
      </c>
      <c r="R8" s="1">
        <v>6.59</v>
      </c>
      <c r="S8" s="7">
        <v>3.5999999999999999E-3</v>
      </c>
      <c r="T8" t="str">
        <f t="shared" si="2"/>
        <v>Bad</v>
      </c>
    </row>
    <row r="9" spans="1:20" x14ac:dyDescent="0.25">
      <c r="A9" t="s">
        <v>14</v>
      </c>
      <c r="B9" t="s">
        <v>48</v>
      </c>
      <c r="C9" t="s">
        <v>38</v>
      </c>
      <c r="D9" t="s">
        <v>68</v>
      </c>
      <c r="E9" t="s">
        <v>16</v>
      </c>
      <c r="F9" t="s">
        <v>17</v>
      </c>
      <c r="G9" t="s">
        <v>18</v>
      </c>
      <c r="H9" s="1">
        <v>90.28</v>
      </c>
      <c r="I9" s="2">
        <v>13636</v>
      </c>
      <c r="J9" s="2">
        <v>9441</v>
      </c>
      <c r="K9" s="2">
        <v>51</v>
      </c>
      <c r="L9" s="2">
        <v>155</v>
      </c>
      <c r="M9" s="2">
        <v>2166</v>
      </c>
      <c r="N9" s="2">
        <v>48</v>
      </c>
      <c r="O9" s="41">
        <v>1.14E-2</v>
      </c>
      <c r="P9" s="7">
        <f t="shared" si="0"/>
        <v>0.15884423584628923</v>
      </c>
      <c r="Q9" s="7">
        <f t="shared" si="1"/>
        <v>3.5200938691698444E-3</v>
      </c>
      <c r="R9" s="1">
        <v>6.62</v>
      </c>
      <c r="S9" s="7">
        <v>3.7000000000000002E-3</v>
      </c>
      <c r="T9" t="str">
        <f t="shared" si="2"/>
        <v>Bad</v>
      </c>
    </row>
    <row r="10" spans="1:20" x14ac:dyDescent="0.25">
      <c r="A10" t="s">
        <v>14</v>
      </c>
      <c r="B10" t="s">
        <v>48</v>
      </c>
      <c r="C10" t="s">
        <v>38</v>
      </c>
      <c r="D10" t="s">
        <v>68</v>
      </c>
      <c r="E10" t="s">
        <v>16</v>
      </c>
      <c r="F10" t="s">
        <v>17</v>
      </c>
      <c r="G10" t="s">
        <v>18</v>
      </c>
      <c r="H10" s="1">
        <v>89.05</v>
      </c>
      <c r="I10" s="2">
        <v>13850</v>
      </c>
      <c r="J10" s="2">
        <v>9503</v>
      </c>
      <c r="K10" s="2">
        <v>30</v>
      </c>
      <c r="L10" s="2">
        <v>112</v>
      </c>
      <c r="M10" s="2">
        <v>2583</v>
      </c>
      <c r="N10" s="2">
        <v>57</v>
      </c>
      <c r="O10" s="41">
        <v>8.1000000000000013E-3</v>
      </c>
      <c r="P10" s="7">
        <f t="shared" si="0"/>
        <v>0.18649819494584838</v>
      </c>
      <c r="Q10" s="7">
        <f t="shared" si="1"/>
        <v>4.1155234657039713E-3</v>
      </c>
      <c r="R10" s="1">
        <v>6.43</v>
      </c>
      <c r="S10" s="7">
        <v>2.2000000000000001E-3</v>
      </c>
      <c r="T10" t="str">
        <f t="shared" si="2"/>
        <v>Bad</v>
      </c>
    </row>
    <row r="11" spans="1:20" x14ac:dyDescent="0.25">
      <c r="A11" t="s">
        <v>14</v>
      </c>
      <c r="B11" t="s">
        <v>48</v>
      </c>
      <c r="C11" t="s">
        <v>38</v>
      </c>
      <c r="D11" t="s">
        <v>68</v>
      </c>
      <c r="E11" t="s">
        <v>16</v>
      </c>
      <c r="F11" t="s">
        <v>17</v>
      </c>
      <c r="G11" t="s">
        <v>18</v>
      </c>
      <c r="H11" s="1">
        <v>12.82</v>
      </c>
      <c r="I11" s="2">
        <v>5100</v>
      </c>
      <c r="J11" s="2">
        <v>4145</v>
      </c>
      <c r="K11" s="2">
        <v>0</v>
      </c>
      <c r="L11" s="2">
        <v>34</v>
      </c>
      <c r="M11" s="2">
        <v>1098</v>
      </c>
      <c r="N11" s="2">
        <v>39</v>
      </c>
      <c r="O11" s="41">
        <v>6.7000000000000002E-3</v>
      </c>
      <c r="P11" s="7">
        <f t="shared" si="0"/>
        <v>0.21529411764705883</v>
      </c>
      <c r="Q11" s="7">
        <f t="shared" si="1"/>
        <v>7.6470588235294122E-3</v>
      </c>
      <c r="R11" s="1">
        <v>2.5099999999999998</v>
      </c>
      <c r="S11" s="7">
        <v>0</v>
      </c>
      <c r="T11" t="str">
        <f t="shared" si="2"/>
        <v>Bad</v>
      </c>
    </row>
    <row r="12" spans="1:20" x14ac:dyDescent="0.25">
      <c r="A12" t="s">
        <v>14</v>
      </c>
      <c r="B12" t="s">
        <v>48</v>
      </c>
      <c r="C12" t="s">
        <v>38</v>
      </c>
      <c r="D12" t="s">
        <v>68</v>
      </c>
      <c r="E12" t="s">
        <v>16</v>
      </c>
      <c r="F12" t="s">
        <v>17</v>
      </c>
      <c r="G12" t="s">
        <v>18</v>
      </c>
      <c r="H12" s="1">
        <v>12.5</v>
      </c>
      <c r="I12" s="2">
        <v>5075</v>
      </c>
      <c r="J12" s="2">
        <v>4059</v>
      </c>
      <c r="K12" s="2">
        <v>0</v>
      </c>
      <c r="L12" s="2">
        <v>33</v>
      </c>
      <c r="M12" s="2">
        <v>855</v>
      </c>
      <c r="N12" s="2">
        <v>18</v>
      </c>
      <c r="O12" s="41">
        <v>6.5000000000000006E-3</v>
      </c>
      <c r="P12" s="7">
        <f t="shared" si="0"/>
        <v>0.16847290640394089</v>
      </c>
      <c r="Q12" s="7">
        <f t="shared" si="1"/>
        <v>3.5467980295566504E-3</v>
      </c>
      <c r="R12" s="1">
        <v>2.46</v>
      </c>
      <c r="S12" s="7">
        <v>0</v>
      </c>
      <c r="T12" t="str">
        <f t="shared" si="2"/>
        <v>Bad</v>
      </c>
    </row>
    <row r="13" spans="1:20" x14ac:dyDescent="0.25">
      <c r="A13" t="s">
        <v>14</v>
      </c>
      <c r="B13" t="s">
        <v>48</v>
      </c>
      <c r="C13" t="s">
        <v>38</v>
      </c>
      <c r="D13" t="s">
        <v>68</v>
      </c>
      <c r="E13" t="s">
        <v>16</v>
      </c>
      <c r="F13" t="s">
        <v>17</v>
      </c>
      <c r="G13" t="s">
        <v>18</v>
      </c>
      <c r="H13" s="1">
        <v>11.28</v>
      </c>
      <c r="I13" s="2">
        <v>4814</v>
      </c>
      <c r="J13" s="2">
        <v>3857</v>
      </c>
      <c r="K13" s="2">
        <v>0</v>
      </c>
      <c r="L13" s="2">
        <v>25</v>
      </c>
      <c r="M13" s="2">
        <v>1105</v>
      </c>
      <c r="N13" s="2">
        <v>21</v>
      </c>
      <c r="O13" s="41">
        <v>5.1999999999999998E-3</v>
      </c>
      <c r="P13" s="7">
        <f t="shared" si="0"/>
        <v>0.22953884503531366</v>
      </c>
      <c r="Q13" s="7">
        <f t="shared" si="1"/>
        <v>4.3622766929788115E-3</v>
      </c>
      <c r="R13" s="1">
        <v>2.34</v>
      </c>
      <c r="S13" s="7">
        <v>0</v>
      </c>
      <c r="T13" t="str">
        <f t="shared" si="2"/>
        <v>Bad</v>
      </c>
    </row>
    <row r="14" spans="1:20" x14ac:dyDescent="0.25">
      <c r="A14" t="s">
        <v>19</v>
      </c>
      <c r="B14" t="s">
        <v>49</v>
      </c>
      <c r="C14" t="s">
        <v>15</v>
      </c>
      <c r="D14" t="s">
        <v>67</v>
      </c>
      <c r="E14" t="s">
        <v>16</v>
      </c>
      <c r="F14" t="s">
        <v>17</v>
      </c>
      <c r="G14" t="s">
        <v>18</v>
      </c>
      <c r="H14" s="1">
        <v>753.03</v>
      </c>
      <c r="I14" s="2">
        <v>925679</v>
      </c>
      <c r="J14" s="2">
        <v>604532</v>
      </c>
      <c r="K14" s="2">
        <v>1594</v>
      </c>
      <c r="L14" s="2">
        <v>4913</v>
      </c>
      <c r="M14" s="2">
        <v>140422</v>
      </c>
      <c r="N14" s="2">
        <v>3176</v>
      </c>
      <c r="O14" s="41">
        <v>5.3E-3</v>
      </c>
      <c r="P14" s="7">
        <f t="shared" si="0"/>
        <v>0.1516962143464419</v>
      </c>
      <c r="Q14" s="7">
        <f t="shared" si="1"/>
        <v>3.4309949777406638E-3</v>
      </c>
      <c r="R14" s="1">
        <v>0.81</v>
      </c>
      <c r="S14" s="7">
        <v>1.6999999999999999E-3</v>
      </c>
      <c r="T14" t="str">
        <f t="shared" si="2"/>
        <v>Bad</v>
      </c>
    </row>
    <row r="15" spans="1:20" x14ac:dyDescent="0.25">
      <c r="A15" t="s">
        <v>19</v>
      </c>
      <c r="B15" t="s">
        <v>49</v>
      </c>
      <c r="C15" t="s">
        <v>15</v>
      </c>
      <c r="D15" t="s">
        <v>67</v>
      </c>
      <c r="E15" t="s">
        <v>20</v>
      </c>
      <c r="F15" t="s">
        <v>17</v>
      </c>
      <c r="G15" t="s">
        <v>18</v>
      </c>
      <c r="H15" s="1">
        <v>729.56</v>
      </c>
      <c r="I15" s="2">
        <v>906138</v>
      </c>
      <c r="J15" s="2">
        <v>593301</v>
      </c>
      <c r="K15" s="2">
        <v>1721</v>
      </c>
      <c r="L15" s="2">
        <v>4803</v>
      </c>
      <c r="M15" s="2">
        <v>114828</v>
      </c>
      <c r="N15" s="2">
        <v>2174</v>
      </c>
      <c r="O15" s="41">
        <v>5.3E-3</v>
      </c>
      <c r="P15" s="7">
        <f t="shared" si="0"/>
        <v>0.12672241976387702</v>
      </c>
      <c r="Q15" s="7">
        <f t="shared" si="1"/>
        <v>2.3991930588938993E-3</v>
      </c>
      <c r="R15" s="1">
        <v>0.81</v>
      </c>
      <c r="S15" s="7">
        <v>1.9E-3</v>
      </c>
      <c r="T15" t="str">
        <f t="shared" si="2"/>
        <v>Bad</v>
      </c>
    </row>
    <row r="16" spans="1:20" x14ac:dyDescent="0.25">
      <c r="A16" t="s">
        <v>19</v>
      </c>
      <c r="B16" t="s">
        <v>49</v>
      </c>
      <c r="C16" t="s">
        <v>15</v>
      </c>
      <c r="D16" t="s">
        <v>67</v>
      </c>
      <c r="E16" t="s">
        <v>20</v>
      </c>
      <c r="F16" t="s">
        <v>17</v>
      </c>
      <c r="G16" t="s">
        <v>18</v>
      </c>
      <c r="H16" s="1">
        <v>729.44</v>
      </c>
      <c r="I16" s="2">
        <v>903314</v>
      </c>
      <c r="J16" s="2">
        <v>594177</v>
      </c>
      <c r="K16" s="2">
        <v>1724</v>
      </c>
      <c r="L16" s="2">
        <v>4815</v>
      </c>
      <c r="M16" s="2">
        <v>123348</v>
      </c>
      <c r="N16" s="2">
        <v>3143</v>
      </c>
      <c r="O16" s="41">
        <v>5.3E-3</v>
      </c>
      <c r="P16" s="7">
        <f t="shared" si="0"/>
        <v>0.13655052395955339</v>
      </c>
      <c r="Q16" s="7">
        <f t="shared" si="1"/>
        <v>3.4794102604409982E-3</v>
      </c>
      <c r="R16" s="1">
        <v>0.81</v>
      </c>
      <c r="S16" s="7">
        <v>1.9E-3</v>
      </c>
      <c r="T16" t="str">
        <f t="shared" si="2"/>
        <v>Bad</v>
      </c>
    </row>
    <row r="17" spans="1:20" x14ac:dyDescent="0.25">
      <c r="A17" t="s">
        <v>19</v>
      </c>
      <c r="B17" t="s">
        <v>49</v>
      </c>
      <c r="C17" t="s">
        <v>15</v>
      </c>
      <c r="D17" t="s">
        <v>67</v>
      </c>
      <c r="E17" t="s">
        <v>16</v>
      </c>
      <c r="F17" t="s">
        <v>17</v>
      </c>
      <c r="G17" t="s">
        <v>18</v>
      </c>
      <c r="H17" s="1">
        <v>723.32</v>
      </c>
      <c r="I17" s="2">
        <v>899545</v>
      </c>
      <c r="J17" s="2">
        <v>592808</v>
      </c>
      <c r="K17" s="2">
        <v>1390</v>
      </c>
      <c r="L17" s="2">
        <v>4470</v>
      </c>
      <c r="M17" s="2">
        <v>117662</v>
      </c>
      <c r="N17" s="2">
        <v>2194</v>
      </c>
      <c r="O17" s="41">
        <v>5.0000000000000001E-3</v>
      </c>
      <c r="P17" s="7">
        <f t="shared" si="0"/>
        <v>0.13080168307310919</v>
      </c>
      <c r="Q17" s="7">
        <f t="shared" si="1"/>
        <v>2.43901083325459E-3</v>
      </c>
      <c r="R17" s="1">
        <v>0.8</v>
      </c>
      <c r="S17" s="7">
        <v>1.5E-3</v>
      </c>
      <c r="T17" t="str">
        <f t="shared" si="2"/>
        <v>Bad</v>
      </c>
    </row>
    <row r="18" spans="1:20" x14ac:dyDescent="0.25">
      <c r="A18" t="s">
        <v>19</v>
      </c>
      <c r="B18" t="s">
        <v>49</v>
      </c>
      <c r="C18" t="s">
        <v>15</v>
      </c>
      <c r="D18" t="s">
        <v>67</v>
      </c>
      <c r="E18" t="s">
        <v>16</v>
      </c>
      <c r="F18" t="s">
        <v>17</v>
      </c>
      <c r="G18" t="s">
        <v>18</v>
      </c>
      <c r="H18" s="1">
        <v>59.42</v>
      </c>
      <c r="I18" s="2">
        <v>136147</v>
      </c>
      <c r="J18" s="2">
        <v>119639</v>
      </c>
      <c r="K18" s="2">
        <v>0</v>
      </c>
      <c r="L18" s="2">
        <v>281</v>
      </c>
      <c r="M18" s="2">
        <v>19564</v>
      </c>
      <c r="N18" s="2">
        <v>391</v>
      </c>
      <c r="O18" s="41">
        <v>2.0999999999999999E-3</v>
      </c>
      <c r="P18" s="7">
        <f t="shared" si="0"/>
        <v>0.14369762095382196</v>
      </c>
      <c r="Q18" s="7">
        <f t="shared" si="1"/>
        <v>2.8718958184903083E-3</v>
      </c>
      <c r="R18" s="1">
        <v>0.44</v>
      </c>
      <c r="S18" s="7">
        <v>0</v>
      </c>
      <c r="T18" t="str">
        <f t="shared" si="2"/>
        <v>Bad</v>
      </c>
    </row>
    <row r="19" spans="1:20" x14ac:dyDescent="0.25">
      <c r="A19" t="s">
        <v>19</v>
      </c>
      <c r="B19" t="s">
        <v>49</v>
      </c>
      <c r="C19" t="s">
        <v>15</v>
      </c>
      <c r="D19" t="s">
        <v>67</v>
      </c>
      <c r="E19" t="s">
        <v>20</v>
      </c>
      <c r="F19" t="s">
        <v>17</v>
      </c>
      <c r="G19" t="s">
        <v>18</v>
      </c>
      <c r="H19" s="1">
        <v>47.55</v>
      </c>
      <c r="I19" s="2">
        <v>122626</v>
      </c>
      <c r="J19" s="2">
        <v>109046</v>
      </c>
      <c r="K19" s="2">
        <v>0</v>
      </c>
      <c r="L19" s="2">
        <v>277</v>
      </c>
      <c r="M19" s="2">
        <v>15268</v>
      </c>
      <c r="N19" s="2">
        <v>327</v>
      </c>
      <c r="O19" s="41">
        <v>2.3E-3</v>
      </c>
      <c r="P19" s="7">
        <f t="shared" si="0"/>
        <v>0.12450866863471043</v>
      </c>
      <c r="Q19" s="7">
        <f t="shared" si="1"/>
        <v>2.6666449203268474E-3</v>
      </c>
      <c r="R19" s="1">
        <v>0.39</v>
      </c>
      <c r="S19" s="7">
        <v>0</v>
      </c>
      <c r="T19" t="str">
        <f t="shared" si="2"/>
        <v>Bad</v>
      </c>
    </row>
    <row r="20" spans="1:20" x14ac:dyDescent="0.25">
      <c r="A20" t="s">
        <v>19</v>
      </c>
      <c r="B20" t="s">
        <v>49</v>
      </c>
      <c r="C20" t="s">
        <v>15</v>
      </c>
      <c r="D20" t="s">
        <v>67</v>
      </c>
      <c r="E20" t="s">
        <v>20</v>
      </c>
      <c r="F20" t="s">
        <v>17</v>
      </c>
      <c r="G20" t="s">
        <v>18</v>
      </c>
      <c r="H20" s="1">
        <v>46.13</v>
      </c>
      <c r="I20" s="2">
        <v>119740</v>
      </c>
      <c r="J20" s="2">
        <v>107007</v>
      </c>
      <c r="K20" s="2">
        <v>0</v>
      </c>
      <c r="L20" s="2">
        <v>283</v>
      </c>
      <c r="M20" s="2">
        <v>13823</v>
      </c>
      <c r="N20" s="2">
        <v>228</v>
      </c>
      <c r="O20" s="41">
        <v>2.3999999999999998E-3</v>
      </c>
      <c r="P20" s="7">
        <f t="shared" si="0"/>
        <v>0.11544179054618339</v>
      </c>
      <c r="Q20" s="7">
        <f t="shared" si="1"/>
        <v>1.9041256054785369E-3</v>
      </c>
      <c r="R20" s="1">
        <v>0.39</v>
      </c>
      <c r="S20" s="7">
        <v>0</v>
      </c>
      <c r="T20" t="str">
        <f t="shared" si="2"/>
        <v>Bad</v>
      </c>
    </row>
    <row r="21" spans="1:20" ht="15.75" customHeight="1" x14ac:dyDescent="0.25">
      <c r="A21" t="s">
        <v>19</v>
      </c>
      <c r="B21" t="s">
        <v>49</v>
      </c>
      <c r="C21" t="s">
        <v>15</v>
      </c>
      <c r="D21" t="s">
        <v>67</v>
      </c>
      <c r="E21" t="s">
        <v>16</v>
      </c>
      <c r="F21" t="s">
        <v>17</v>
      </c>
      <c r="G21" t="s">
        <v>18</v>
      </c>
      <c r="H21" s="1">
        <v>42.06</v>
      </c>
      <c r="I21" s="2">
        <v>115599</v>
      </c>
      <c r="J21" s="2">
        <v>102452</v>
      </c>
      <c r="K21" s="2">
        <v>0</v>
      </c>
      <c r="L21" s="2">
        <v>263</v>
      </c>
      <c r="M21" s="2">
        <v>13754</v>
      </c>
      <c r="N21" s="2">
        <v>235</v>
      </c>
      <c r="O21" s="41">
        <v>2.3E-3</v>
      </c>
      <c r="P21" s="7">
        <f t="shared" si="0"/>
        <v>0.11898026799539789</v>
      </c>
      <c r="Q21" s="7">
        <f t="shared" si="1"/>
        <v>2.0328895578681475E-3</v>
      </c>
      <c r="R21" s="1">
        <v>0.36</v>
      </c>
      <c r="S21" s="7">
        <v>0</v>
      </c>
      <c r="T21" t="str">
        <f t="shared" si="2"/>
        <v>Bad</v>
      </c>
    </row>
    <row r="22" spans="1:20" ht="15.75" customHeight="1" x14ac:dyDescent="0.25">
      <c r="A22" t="s">
        <v>21</v>
      </c>
      <c r="B22" t="s">
        <v>50</v>
      </c>
      <c r="C22" t="s">
        <v>15</v>
      </c>
      <c r="D22" t="s">
        <v>67</v>
      </c>
      <c r="E22" t="s">
        <v>20</v>
      </c>
      <c r="F22" t="s">
        <v>17</v>
      </c>
      <c r="G22" t="s">
        <v>18</v>
      </c>
      <c r="H22" s="1">
        <v>273.51</v>
      </c>
      <c r="I22" s="2">
        <v>658188</v>
      </c>
      <c r="J22" s="2">
        <v>412773</v>
      </c>
      <c r="K22" s="2">
        <v>0</v>
      </c>
      <c r="L22" s="2">
        <v>2389</v>
      </c>
      <c r="M22" s="2">
        <v>106158</v>
      </c>
      <c r="N22" s="2">
        <v>2373</v>
      </c>
      <c r="O22" s="41">
        <v>3.5999999999999999E-3</v>
      </c>
      <c r="P22" s="7">
        <f t="shared" si="0"/>
        <v>0.16128826414337544</v>
      </c>
      <c r="Q22" s="7">
        <f t="shared" si="1"/>
        <v>3.6053528779011468E-3</v>
      </c>
      <c r="R22" s="1">
        <v>0.42</v>
      </c>
      <c r="S22" s="7">
        <v>0</v>
      </c>
      <c r="T22" t="str">
        <f t="shared" si="2"/>
        <v>Bad</v>
      </c>
    </row>
    <row r="23" spans="1:20" ht="15.75" customHeight="1" x14ac:dyDescent="0.25">
      <c r="A23" t="s">
        <v>21</v>
      </c>
      <c r="B23" t="s">
        <v>50</v>
      </c>
      <c r="C23" t="s">
        <v>15</v>
      </c>
      <c r="D23" t="s">
        <v>67</v>
      </c>
      <c r="E23" t="s">
        <v>16</v>
      </c>
      <c r="F23" t="s">
        <v>17</v>
      </c>
      <c r="G23" t="s">
        <v>18</v>
      </c>
      <c r="H23" s="1">
        <v>255.96</v>
      </c>
      <c r="I23" s="2">
        <v>639027</v>
      </c>
      <c r="J23" s="2">
        <v>403822</v>
      </c>
      <c r="K23" s="2">
        <v>0</v>
      </c>
      <c r="L23" s="2">
        <v>2513</v>
      </c>
      <c r="M23" s="2">
        <v>132148</v>
      </c>
      <c r="N23" s="2">
        <v>2514</v>
      </c>
      <c r="O23" s="41">
        <v>3.8999999999999998E-3</v>
      </c>
      <c r="P23" s="7">
        <f t="shared" si="0"/>
        <v>0.20679564400252259</v>
      </c>
      <c r="Q23" s="7">
        <f t="shared" si="1"/>
        <v>3.9341060706355128E-3</v>
      </c>
      <c r="R23" s="1">
        <v>0.4</v>
      </c>
      <c r="S23" s="7">
        <v>0</v>
      </c>
      <c r="T23" t="str">
        <f t="shared" si="2"/>
        <v>Bad</v>
      </c>
    </row>
    <row r="24" spans="1:20" ht="15.75" customHeight="1" x14ac:dyDescent="0.25">
      <c r="A24" t="s">
        <v>21</v>
      </c>
      <c r="B24" t="s">
        <v>50</v>
      </c>
      <c r="C24" t="s">
        <v>15</v>
      </c>
      <c r="D24" t="s">
        <v>67</v>
      </c>
      <c r="E24" t="s">
        <v>20</v>
      </c>
      <c r="F24" t="s">
        <v>17</v>
      </c>
      <c r="G24" t="s">
        <v>18</v>
      </c>
      <c r="H24" s="1">
        <v>255.51</v>
      </c>
      <c r="I24" s="2">
        <v>639959</v>
      </c>
      <c r="J24" s="2">
        <v>405289</v>
      </c>
      <c r="K24" s="2">
        <v>0</v>
      </c>
      <c r="L24" s="2">
        <v>2410</v>
      </c>
      <c r="M24" s="2">
        <v>96482</v>
      </c>
      <c r="N24" s="2">
        <v>1574</v>
      </c>
      <c r="O24" s="41">
        <v>3.8E-3</v>
      </c>
      <c r="P24" s="7">
        <f t="shared" si="0"/>
        <v>0.15076278324080136</v>
      </c>
      <c r="Q24" s="7">
        <f t="shared" si="1"/>
        <v>2.4595325638048686E-3</v>
      </c>
      <c r="R24" s="1">
        <v>0.4</v>
      </c>
      <c r="S24" s="7">
        <v>0</v>
      </c>
      <c r="T24" t="str">
        <f t="shared" si="2"/>
        <v>Bad</v>
      </c>
    </row>
    <row r="25" spans="1:20" ht="15.75" customHeight="1" x14ac:dyDescent="0.25">
      <c r="A25" t="s">
        <v>21</v>
      </c>
      <c r="B25" t="s">
        <v>50</v>
      </c>
      <c r="C25" t="s">
        <v>15</v>
      </c>
      <c r="D25" t="s">
        <v>67</v>
      </c>
      <c r="E25" t="s">
        <v>16</v>
      </c>
      <c r="F25" t="s">
        <v>17</v>
      </c>
      <c r="G25" t="s">
        <v>18</v>
      </c>
      <c r="H25" s="1">
        <v>246.34</v>
      </c>
      <c r="I25" s="2">
        <v>630665</v>
      </c>
      <c r="J25" s="2">
        <v>402112</v>
      </c>
      <c r="K25" s="2">
        <v>0</v>
      </c>
      <c r="L25" s="2">
        <v>2518</v>
      </c>
      <c r="M25" s="2">
        <v>122502</v>
      </c>
      <c r="N25" s="2">
        <v>1640</v>
      </c>
      <c r="O25" s="41">
        <v>4.0000000000000001E-3</v>
      </c>
      <c r="P25" s="7">
        <f t="shared" si="0"/>
        <v>0.19424258520767762</v>
      </c>
      <c r="Q25" s="7">
        <f t="shared" si="1"/>
        <v>2.6004297051524976E-3</v>
      </c>
      <c r="R25" s="1">
        <v>0.39</v>
      </c>
      <c r="S25" s="7">
        <v>0</v>
      </c>
      <c r="T25" t="str">
        <f t="shared" si="2"/>
        <v>Bad</v>
      </c>
    </row>
    <row r="26" spans="1:20" ht="15.75" customHeight="1" x14ac:dyDescent="0.25">
      <c r="A26" t="s">
        <v>22</v>
      </c>
      <c r="B26" t="s">
        <v>51</v>
      </c>
      <c r="C26" t="s">
        <v>15</v>
      </c>
      <c r="D26" t="s">
        <v>67</v>
      </c>
      <c r="E26" t="s">
        <v>20</v>
      </c>
      <c r="F26" t="s">
        <v>17</v>
      </c>
      <c r="G26" t="s">
        <v>18</v>
      </c>
      <c r="H26" s="1">
        <v>1026.6500000000001</v>
      </c>
      <c r="I26" s="2">
        <v>1060287</v>
      </c>
      <c r="J26" s="2">
        <v>748514</v>
      </c>
      <c r="K26" s="2">
        <v>2035</v>
      </c>
      <c r="L26" s="2">
        <v>3352</v>
      </c>
      <c r="M26" s="2">
        <v>118626</v>
      </c>
      <c r="N26" s="2">
        <v>2105</v>
      </c>
      <c r="O26" s="41">
        <v>3.2000000000000002E-3</v>
      </c>
      <c r="P26" s="7">
        <f t="shared" si="0"/>
        <v>0.11188102843852656</v>
      </c>
      <c r="Q26" s="7">
        <f t="shared" si="1"/>
        <v>1.9853115241439344E-3</v>
      </c>
      <c r="R26" s="1">
        <v>0.97</v>
      </c>
      <c r="S26" s="7">
        <v>1.9E-3</v>
      </c>
      <c r="T26" t="str">
        <f t="shared" si="2"/>
        <v>Bad</v>
      </c>
    </row>
    <row r="27" spans="1:20" ht="15.75" customHeight="1" x14ac:dyDescent="0.25">
      <c r="A27" t="s">
        <v>22</v>
      </c>
      <c r="B27" t="s">
        <v>51</v>
      </c>
      <c r="C27" t="s">
        <v>15</v>
      </c>
      <c r="D27" t="s">
        <v>67</v>
      </c>
      <c r="E27" t="s">
        <v>20</v>
      </c>
      <c r="F27" t="s">
        <v>17</v>
      </c>
      <c r="G27" t="s">
        <v>18</v>
      </c>
      <c r="H27" s="1">
        <v>1003.87</v>
      </c>
      <c r="I27" s="2">
        <v>1047074</v>
      </c>
      <c r="J27" s="2">
        <v>739197</v>
      </c>
      <c r="K27" s="2">
        <v>2069</v>
      </c>
      <c r="L27" s="2">
        <v>3315</v>
      </c>
      <c r="M27" s="2">
        <v>123987</v>
      </c>
      <c r="N27" s="2">
        <v>3244</v>
      </c>
      <c r="O27" s="41">
        <v>3.2000000000000002E-3</v>
      </c>
      <c r="P27" s="7">
        <f t="shared" si="0"/>
        <v>0.1184128342409419</v>
      </c>
      <c r="Q27" s="7">
        <f t="shared" si="1"/>
        <v>3.0981573413149405E-3</v>
      </c>
      <c r="R27" s="1">
        <v>0.96</v>
      </c>
      <c r="S27" s="7">
        <v>2E-3</v>
      </c>
      <c r="T27" t="str">
        <f t="shared" si="2"/>
        <v>Bad</v>
      </c>
    </row>
    <row r="28" spans="1:20" ht="15.75" customHeight="1" x14ac:dyDescent="0.25">
      <c r="A28" t="s">
        <v>22</v>
      </c>
      <c r="B28" t="s">
        <v>51</v>
      </c>
      <c r="C28" t="s">
        <v>15</v>
      </c>
      <c r="D28" t="s">
        <v>67</v>
      </c>
      <c r="E28" t="s">
        <v>16</v>
      </c>
      <c r="F28" t="s">
        <v>17</v>
      </c>
      <c r="G28" t="s">
        <v>18</v>
      </c>
      <c r="H28" s="1">
        <v>915.44</v>
      </c>
      <c r="I28" s="2">
        <v>976618</v>
      </c>
      <c r="J28" s="2">
        <v>698282</v>
      </c>
      <c r="K28" s="2">
        <v>1446</v>
      </c>
      <c r="L28" s="2">
        <v>2773</v>
      </c>
      <c r="M28" s="2">
        <v>133648</v>
      </c>
      <c r="N28" s="2">
        <v>3098</v>
      </c>
      <c r="O28" s="41">
        <v>2.8E-3</v>
      </c>
      <c r="P28" s="7">
        <f t="shared" si="0"/>
        <v>0.13684777466727011</v>
      </c>
      <c r="Q28" s="7">
        <f t="shared" si="1"/>
        <v>3.1721717191368578E-3</v>
      </c>
      <c r="R28" s="1">
        <v>0.94</v>
      </c>
      <c r="S28" s="7">
        <v>1.5E-3</v>
      </c>
      <c r="T28" t="str">
        <f t="shared" si="2"/>
        <v>Bad</v>
      </c>
    </row>
    <row r="29" spans="1:20" ht="15.75" customHeight="1" x14ac:dyDescent="0.25">
      <c r="A29" t="s">
        <v>22</v>
      </c>
      <c r="B29" t="s">
        <v>51</v>
      </c>
      <c r="C29" t="s">
        <v>15</v>
      </c>
      <c r="D29" t="s">
        <v>67</v>
      </c>
      <c r="E29" t="s">
        <v>16</v>
      </c>
      <c r="F29" t="s">
        <v>17</v>
      </c>
      <c r="G29" t="s">
        <v>18</v>
      </c>
      <c r="H29" s="1">
        <v>874.96</v>
      </c>
      <c r="I29" s="2">
        <v>935995</v>
      </c>
      <c r="J29" s="2">
        <v>668554</v>
      </c>
      <c r="K29" s="2">
        <v>1375</v>
      </c>
      <c r="L29" s="2">
        <v>2557</v>
      </c>
      <c r="M29" s="2">
        <v>118711</v>
      </c>
      <c r="N29" s="2">
        <v>1874</v>
      </c>
      <c r="O29" s="41">
        <v>2.7000000000000001E-3</v>
      </c>
      <c r="P29" s="7">
        <f t="shared" si="0"/>
        <v>0.12682866895656494</v>
      </c>
      <c r="Q29" s="7">
        <f t="shared" si="1"/>
        <v>2.0021474473688426E-3</v>
      </c>
      <c r="R29" s="1">
        <v>0.93</v>
      </c>
      <c r="S29" s="7">
        <v>1.5E-3</v>
      </c>
      <c r="T29" t="str">
        <f t="shared" si="2"/>
        <v>Bad</v>
      </c>
    </row>
    <row r="30" spans="1:20" ht="15.75" customHeight="1" x14ac:dyDescent="0.25">
      <c r="A30" t="s">
        <v>22</v>
      </c>
      <c r="B30" t="s">
        <v>51</v>
      </c>
      <c r="C30" t="s">
        <v>15</v>
      </c>
      <c r="D30" t="s">
        <v>67</v>
      </c>
      <c r="E30" t="s">
        <v>20</v>
      </c>
      <c r="F30" t="s">
        <v>17</v>
      </c>
      <c r="G30" t="s">
        <v>18</v>
      </c>
      <c r="H30" s="1">
        <v>328.29</v>
      </c>
      <c r="I30" s="2">
        <v>520171</v>
      </c>
      <c r="J30" s="2">
        <v>423244</v>
      </c>
      <c r="K30" s="2">
        <v>0</v>
      </c>
      <c r="L30" s="2">
        <v>658</v>
      </c>
      <c r="M30" s="2">
        <v>62835</v>
      </c>
      <c r="N30" s="2">
        <v>1520</v>
      </c>
      <c r="O30" s="41">
        <v>1.2999999999999999E-3</v>
      </c>
      <c r="P30" s="7">
        <f t="shared" si="0"/>
        <v>0.12079681489356385</v>
      </c>
      <c r="Q30" s="7">
        <f t="shared" si="1"/>
        <v>2.9221159964703913E-3</v>
      </c>
      <c r="R30" s="1">
        <v>0.63</v>
      </c>
      <c r="S30" s="7">
        <v>0</v>
      </c>
      <c r="T30" t="str">
        <f t="shared" si="2"/>
        <v>Bad</v>
      </c>
    </row>
    <row r="31" spans="1:20" ht="15.75" customHeight="1" x14ac:dyDescent="0.25">
      <c r="A31" t="s">
        <v>22</v>
      </c>
      <c r="B31" t="s">
        <v>51</v>
      </c>
      <c r="C31" t="s">
        <v>15</v>
      </c>
      <c r="D31" t="s">
        <v>67</v>
      </c>
      <c r="E31" t="s">
        <v>20</v>
      </c>
      <c r="F31" t="s">
        <v>17</v>
      </c>
      <c r="G31" t="s">
        <v>18</v>
      </c>
      <c r="H31" s="1">
        <v>269.68</v>
      </c>
      <c r="I31" s="2">
        <v>457824</v>
      </c>
      <c r="J31" s="2">
        <v>378376</v>
      </c>
      <c r="K31" s="2">
        <v>0</v>
      </c>
      <c r="L31" s="2">
        <v>514</v>
      </c>
      <c r="M31" s="2">
        <v>51275</v>
      </c>
      <c r="N31" s="2">
        <v>844</v>
      </c>
      <c r="O31" s="41">
        <v>1.1000000000000001E-3</v>
      </c>
      <c r="P31" s="7">
        <f t="shared" si="0"/>
        <v>0.11199718669182918</v>
      </c>
      <c r="Q31" s="7">
        <f t="shared" si="1"/>
        <v>1.8435031802614104E-3</v>
      </c>
      <c r="R31" s="1">
        <v>0.59</v>
      </c>
      <c r="S31" s="7">
        <v>0</v>
      </c>
      <c r="T31" t="str">
        <f t="shared" si="2"/>
        <v>Bad</v>
      </c>
    </row>
    <row r="32" spans="1:20" ht="15.75" customHeight="1" x14ac:dyDescent="0.25">
      <c r="A32" t="s">
        <v>22</v>
      </c>
      <c r="B32" t="s">
        <v>51</v>
      </c>
      <c r="C32" t="s">
        <v>15</v>
      </c>
      <c r="D32" t="s">
        <v>67</v>
      </c>
      <c r="E32" t="s">
        <v>16</v>
      </c>
      <c r="F32" t="s">
        <v>17</v>
      </c>
      <c r="G32" t="s">
        <v>18</v>
      </c>
      <c r="H32" s="1">
        <v>265.89</v>
      </c>
      <c r="I32" s="2">
        <v>459632</v>
      </c>
      <c r="J32" s="2">
        <v>375205</v>
      </c>
      <c r="K32" s="2">
        <v>0</v>
      </c>
      <c r="L32" s="2">
        <v>600</v>
      </c>
      <c r="M32" s="2">
        <v>64249</v>
      </c>
      <c r="N32" s="2">
        <v>1381</v>
      </c>
      <c r="O32" s="41">
        <v>1.2999999999999999E-3</v>
      </c>
      <c r="P32" s="7">
        <f t="shared" si="0"/>
        <v>0.13978356598322136</v>
      </c>
      <c r="Q32" s="7">
        <f t="shared" si="1"/>
        <v>3.0045775751035612E-3</v>
      </c>
      <c r="R32" s="1">
        <v>0.57999999999999996</v>
      </c>
      <c r="S32" s="7">
        <v>0</v>
      </c>
      <c r="T32" t="str">
        <f t="shared" si="2"/>
        <v>Bad</v>
      </c>
    </row>
    <row r="33" spans="1:20" ht="15.75" customHeight="1" x14ac:dyDescent="0.25">
      <c r="A33" t="s">
        <v>22</v>
      </c>
      <c r="B33" t="s">
        <v>51</v>
      </c>
      <c r="C33" t="s">
        <v>15</v>
      </c>
      <c r="D33" t="s">
        <v>67</v>
      </c>
      <c r="E33" t="s">
        <v>16</v>
      </c>
      <c r="F33" t="s">
        <v>17</v>
      </c>
      <c r="G33" t="s">
        <v>18</v>
      </c>
      <c r="H33" s="1">
        <v>217.72</v>
      </c>
      <c r="I33" s="2">
        <v>409480</v>
      </c>
      <c r="J33" s="2">
        <v>337792</v>
      </c>
      <c r="K33" s="2">
        <v>0</v>
      </c>
      <c r="L33" s="2">
        <v>482</v>
      </c>
      <c r="M33" s="2">
        <v>53202</v>
      </c>
      <c r="N33" s="2">
        <v>728</v>
      </c>
      <c r="O33" s="41">
        <v>1.1999999999999999E-3</v>
      </c>
      <c r="P33" s="7">
        <f t="shared" si="0"/>
        <v>0.12992575949985347</v>
      </c>
      <c r="Q33" s="7">
        <f t="shared" si="1"/>
        <v>1.7778646087721012E-3</v>
      </c>
      <c r="R33" s="1">
        <v>0.53</v>
      </c>
      <c r="S33" s="7">
        <v>0</v>
      </c>
      <c r="T33" t="str">
        <f t="shared" si="2"/>
        <v>Bad</v>
      </c>
    </row>
    <row r="34" spans="1:20" ht="15.75" customHeight="1" x14ac:dyDescent="0.25">
      <c r="A34" t="s">
        <v>22</v>
      </c>
      <c r="B34" t="s">
        <v>51</v>
      </c>
      <c r="C34" t="s">
        <v>38</v>
      </c>
      <c r="D34" t="s">
        <v>68</v>
      </c>
      <c r="E34" t="s">
        <v>16</v>
      </c>
      <c r="F34" t="s">
        <v>17</v>
      </c>
      <c r="G34" t="s">
        <v>18</v>
      </c>
      <c r="H34" s="1">
        <v>7.58</v>
      </c>
      <c r="I34" s="2">
        <v>2542</v>
      </c>
      <c r="J34" s="2">
        <v>1962</v>
      </c>
      <c r="K34" s="2">
        <v>0</v>
      </c>
      <c r="L34" s="2">
        <v>12</v>
      </c>
      <c r="M34" s="2">
        <v>479</v>
      </c>
      <c r="N34" s="2">
        <v>10</v>
      </c>
      <c r="O34" s="41">
        <v>4.6999999999999993E-3</v>
      </c>
      <c r="P34" s="7">
        <f t="shared" ref="P34:P65" si="3">(M34/I34)</f>
        <v>0.1884343036978757</v>
      </c>
      <c r="Q34" s="7">
        <f t="shared" ref="Q34:Q65" si="4">(N34/I34)</f>
        <v>3.9339103068450039E-3</v>
      </c>
      <c r="R34" s="1">
        <v>2.98</v>
      </c>
      <c r="S34" s="7">
        <v>0</v>
      </c>
      <c r="T34" t="str">
        <f t="shared" si="2"/>
        <v>Bad</v>
      </c>
    </row>
    <row r="35" spans="1:20" ht="15.75" customHeight="1" x14ac:dyDescent="0.25">
      <c r="A35" t="s">
        <v>22</v>
      </c>
      <c r="B35" t="s">
        <v>51</v>
      </c>
      <c r="C35" t="s">
        <v>38</v>
      </c>
      <c r="D35" t="s">
        <v>68</v>
      </c>
      <c r="E35" t="s">
        <v>16</v>
      </c>
      <c r="F35" t="s">
        <v>17</v>
      </c>
      <c r="G35" t="s">
        <v>18</v>
      </c>
      <c r="H35" s="1">
        <v>7.25</v>
      </c>
      <c r="I35" s="2">
        <v>2560</v>
      </c>
      <c r="J35" s="2">
        <v>1949</v>
      </c>
      <c r="K35" s="2">
        <v>0</v>
      </c>
      <c r="L35" s="2">
        <v>15</v>
      </c>
      <c r="M35" s="2">
        <v>527</v>
      </c>
      <c r="N35" s="2">
        <v>18</v>
      </c>
      <c r="O35" s="41">
        <v>5.8999999999999999E-3</v>
      </c>
      <c r="P35" s="7">
        <f t="shared" si="3"/>
        <v>0.20585937500000001</v>
      </c>
      <c r="Q35" s="7">
        <f t="shared" si="4"/>
        <v>7.0312500000000002E-3</v>
      </c>
      <c r="R35" s="1">
        <v>2.83</v>
      </c>
      <c r="S35" s="7">
        <v>0</v>
      </c>
      <c r="T35" t="str">
        <f t="shared" si="2"/>
        <v>Bad</v>
      </c>
    </row>
    <row r="36" spans="1:20" ht="15.75" customHeight="1" x14ac:dyDescent="0.25">
      <c r="A36" t="s">
        <v>22</v>
      </c>
      <c r="B36" t="s">
        <v>51</v>
      </c>
      <c r="C36" t="s">
        <v>38</v>
      </c>
      <c r="D36" t="s">
        <v>68</v>
      </c>
      <c r="E36" t="s">
        <v>20</v>
      </c>
      <c r="F36" t="s">
        <v>17</v>
      </c>
      <c r="G36" t="s">
        <v>18</v>
      </c>
      <c r="H36" s="1">
        <v>7.12</v>
      </c>
      <c r="I36" s="2">
        <v>2305</v>
      </c>
      <c r="J36" s="2">
        <v>1784</v>
      </c>
      <c r="K36" s="2">
        <v>0</v>
      </c>
      <c r="L36" s="2">
        <v>9</v>
      </c>
      <c r="M36" s="2">
        <v>472</v>
      </c>
      <c r="N36" s="2">
        <v>19</v>
      </c>
      <c r="O36" s="41">
        <v>3.8999999999999998E-3</v>
      </c>
      <c r="P36" s="7">
        <f t="shared" si="3"/>
        <v>0.20477223427331886</v>
      </c>
      <c r="Q36" s="7">
        <f t="shared" si="4"/>
        <v>8.2429501084598702E-3</v>
      </c>
      <c r="R36" s="1">
        <v>3.09</v>
      </c>
      <c r="S36" s="7">
        <v>0</v>
      </c>
      <c r="T36" t="str">
        <f t="shared" si="2"/>
        <v>Bad</v>
      </c>
    </row>
    <row r="37" spans="1:20" ht="15.75" customHeight="1" x14ac:dyDescent="0.25">
      <c r="A37" t="s">
        <v>22</v>
      </c>
      <c r="B37" t="s">
        <v>51</v>
      </c>
      <c r="C37" t="s">
        <v>38</v>
      </c>
      <c r="D37" t="s">
        <v>68</v>
      </c>
      <c r="E37" t="s">
        <v>20</v>
      </c>
      <c r="F37" t="s">
        <v>17</v>
      </c>
      <c r="G37" t="s">
        <v>18</v>
      </c>
      <c r="H37" s="1">
        <v>6.97</v>
      </c>
      <c r="I37" s="2">
        <v>2258</v>
      </c>
      <c r="J37" s="2">
        <v>1740</v>
      </c>
      <c r="K37" s="2">
        <v>0</v>
      </c>
      <c r="L37" s="2">
        <v>22</v>
      </c>
      <c r="M37" s="2">
        <v>394</v>
      </c>
      <c r="N37" s="2">
        <v>5</v>
      </c>
      <c r="O37" s="41">
        <v>9.7000000000000003E-3</v>
      </c>
      <c r="P37" s="7">
        <f t="shared" si="3"/>
        <v>0.17449069973427811</v>
      </c>
      <c r="Q37" s="7">
        <f t="shared" si="4"/>
        <v>2.2143489813994687E-3</v>
      </c>
      <c r="R37" s="1">
        <v>3.09</v>
      </c>
      <c r="S37" s="7">
        <v>0</v>
      </c>
      <c r="T37" t="str">
        <f t="shared" si="2"/>
        <v>Bad</v>
      </c>
    </row>
    <row r="38" spans="1:20" ht="15.75" customHeight="1" x14ac:dyDescent="0.25">
      <c r="A38" t="s">
        <v>22</v>
      </c>
      <c r="B38" t="s">
        <v>51</v>
      </c>
      <c r="C38" t="s">
        <v>38</v>
      </c>
      <c r="D38" t="s">
        <v>68</v>
      </c>
      <c r="E38" t="s">
        <v>20</v>
      </c>
      <c r="F38" t="s">
        <v>17</v>
      </c>
      <c r="G38" t="s">
        <v>18</v>
      </c>
      <c r="H38" s="1">
        <v>6.14</v>
      </c>
      <c r="I38" s="2">
        <v>1538</v>
      </c>
      <c r="J38" s="2">
        <v>1269</v>
      </c>
      <c r="K38" s="2">
        <v>2</v>
      </c>
      <c r="L38" s="2">
        <v>7</v>
      </c>
      <c r="M38" s="2">
        <v>274</v>
      </c>
      <c r="N38" s="2">
        <v>9</v>
      </c>
      <c r="O38" s="41">
        <v>4.5999999999999999E-3</v>
      </c>
      <c r="P38" s="7">
        <f t="shared" si="3"/>
        <v>0.17815344603381014</v>
      </c>
      <c r="Q38" s="7">
        <f t="shared" si="4"/>
        <v>5.8517555266579977E-3</v>
      </c>
      <c r="R38" s="1">
        <v>3.99</v>
      </c>
      <c r="S38" s="7">
        <v>1.2999999999999999E-3</v>
      </c>
      <c r="T38" t="str">
        <f t="shared" si="2"/>
        <v>Bad</v>
      </c>
    </row>
    <row r="39" spans="1:20" ht="15.75" customHeight="1" x14ac:dyDescent="0.25">
      <c r="A39" t="s">
        <v>22</v>
      </c>
      <c r="B39" t="s">
        <v>51</v>
      </c>
      <c r="C39" t="s">
        <v>38</v>
      </c>
      <c r="D39" t="s">
        <v>68</v>
      </c>
      <c r="E39" t="s">
        <v>16</v>
      </c>
      <c r="F39" t="s">
        <v>17</v>
      </c>
      <c r="G39" t="s">
        <v>18</v>
      </c>
      <c r="H39" s="1">
        <v>5.84</v>
      </c>
      <c r="I39" s="2">
        <v>1514</v>
      </c>
      <c r="J39" s="2">
        <v>1260</v>
      </c>
      <c r="K39" s="2">
        <v>0</v>
      </c>
      <c r="L39" s="2">
        <v>8</v>
      </c>
      <c r="M39" s="2">
        <v>305</v>
      </c>
      <c r="N39" s="2">
        <v>14</v>
      </c>
      <c r="O39" s="41">
        <v>5.3E-3</v>
      </c>
      <c r="P39" s="7">
        <f t="shared" si="3"/>
        <v>0.20145310435931307</v>
      </c>
      <c r="Q39" s="7">
        <f t="shared" si="4"/>
        <v>9.247027741083224E-3</v>
      </c>
      <c r="R39" s="1">
        <v>3.86</v>
      </c>
      <c r="S39" s="7">
        <v>0</v>
      </c>
      <c r="T39" t="str">
        <f t="shared" si="2"/>
        <v>Bad</v>
      </c>
    </row>
    <row r="40" spans="1:20" ht="15.75" customHeight="1" x14ac:dyDescent="0.25">
      <c r="A40" t="s">
        <v>22</v>
      </c>
      <c r="B40" t="s">
        <v>51</v>
      </c>
      <c r="C40" t="s">
        <v>38</v>
      </c>
      <c r="D40" t="s">
        <v>68</v>
      </c>
      <c r="E40" t="s">
        <v>20</v>
      </c>
      <c r="F40" t="s">
        <v>17</v>
      </c>
      <c r="G40" t="s">
        <v>18</v>
      </c>
      <c r="H40" s="1">
        <v>5.84</v>
      </c>
      <c r="I40" s="2">
        <v>1488</v>
      </c>
      <c r="J40" s="2">
        <v>1219</v>
      </c>
      <c r="K40" s="2">
        <v>4</v>
      </c>
      <c r="L40" s="2">
        <v>10</v>
      </c>
      <c r="M40" s="2">
        <v>242</v>
      </c>
      <c r="N40" s="2">
        <v>8</v>
      </c>
      <c r="O40" s="41">
        <v>6.7000000000000002E-3</v>
      </c>
      <c r="P40" s="7">
        <f t="shared" si="3"/>
        <v>0.16263440860215053</v>
      </c>
      <c r="Q40" s="7">
        <f t="shared" si="4"/>
        <v>5.3763440860215058E-3</v>
      </c>
      <c r="R40" s="1">
        <v>3.92</v>
      </c>
      <c r="S40" s="7">
        <v>2.7000000000000001E-3</v>
      </c>
      <c r="T40" t="str">
        <f t="shared" si="2"/>
        <v>Bad</v>
      </c>
    </row>
    <row r="41" spans="1:20" ht="15.75" customHeight="1" x14ac:dyDescent="0.25">
      <c r="A41" t="s">
        <v>22</v>
      </c>
      <c r="B41" t="s">
        <v>51</v>
      </c>
      <c r="C41" t="s">
        <v>38</v>
      </c>
      <c r="D41" t="s">
        <v>68</v>
      </c>
      <c r="E41" t="s">
        <v>16</v>
      </c>
      <c r="F41" t="s">
        <v>17</v>
      </c>
      <c r="G41" t="s">
        <v>18</v>
      </c>
      <c r="H41" s="1">
        <v>5.79</v>
      </c>
      <c r="I41" s="2">
        <v>1503</v>
      </c>
      <c r="J41" s="2">
        <v>1254</v>
      </c>
      <c r="K41" s="2">
        <v>5</v>
      </c>
      <c r="L41" s="2">
        <v>10</v>
      </c>
      <c r="M41" s="2">
        <v>294</v>
      </c>
      <c r="N41" s="2">
        <v>2</v>
      </c>
      <c r="O41" s="41">
        <v>6.7000000000000002E-3</v>
      </c>
      <c r="P41" s="7">
        <f t="shared" si="3"/>
        <v>0.19560878243512975</v>
      </c>
      <c r="Q41" s="7">
        <f t="shared" si="4"/>
        <v>1.3306719893546241E-3</v>
      </c>
      <c r="R41" s="1">
        <v>3.85</v>
      </c>
      <c r="S41" s="7">
        <v>3.3E-3</v>
      </c>
      <c r="T41" t="str">
        <f t="shared" si="2"/>
        <v>Bad</v>
      </c>
    </row>
    <row r="42" spans="1:20" ht="15.75" customHeight="1" x14ac:dyDescent="0.25">
      <c r="A42" t="s">
        <v>23</v>
      </c>
      <c r="B42" t="s">
        <v>52</v>
      </c>
      <c r="C42" t="s">
        <v>15</v>
      </c>
      <c r="D42" t="s">
        <v>67</v>
      </c>
      <c r="E42" t="s">
        <v>20</v>
      </c>
      <c r="F42" t="s">
        <v>17</v>
      </c>
      <c r="G42" t="s">
        <v>18</v>
      </c>
      <c r="H42" s="1">
        <v>2162.67</v>
      </c>
      <c r="I42" s="2">
        <v>3316491</v>
      </c>
      <c r="J42" s="2">
        <v>2272839</v>
      </c>
      <c r="K42" s="2">
        <v>5464</v>
      </c>
      <c r="L42" s="2">
        <v>8347</v>
      </c>
      <c r="M42" s="2">
        <v>252741</v>
      </c>
      <c r="N42" s="2">
        <v>4452</v>
      </c>
      <c r="O42" s="41">
        <v>2.5000000000000001E-3</v>
      </c>
      <c r="P42" s="7">
        <f t="shared" si="3"/>
        <v>7.6207352891957195E-2</v>
      </c>
      <c r="Q42" s="7">
        <f t="shared" si="4"/>
        <v>1.3423826568502674E-3</v>
      </c>
      <c r="R42" s="1">
        <v>0.65</v>
      </c>
      <c r="S42" s="7">
        <v>1.6000000000000001E-3</v>
      </c>
      <c r="T42" t="str">
        <f t="shared" si="2"/>
        <v>Bad</v>
      </c>
    </row>
    <row r="43" spans="1:20" ht="15.75" customHeight="1" x14ac:dyDescent="0.25">
      <c r="A43" t="s">
        <v>23</v>
      </c>
      <c r="B43" t="s">
        <v>52</v>
      </c>
      <c r="C43" t="s">
        <v>15</v>
      </c>
      <c r="D43" t="s">
        <v>67</v>
      </c>
      <c r="E43" t="s">
        <v>20</v>
      </c>
      <c r="F43" t="s">
        <v>17</v>
      </c>
      <c r="G43" t="s">
        <v>18</v>
      </c>
      <c r="H43" s="1">
        <v>1932.22</v>
      </c>
      <c r="I43" s="2">
        <v>2936045</v>
      </c>
      <c r="J43" s="2">
        <v>2041623</v>
      </c>
      <c r="K43" s="2">
        <v>4737</v>
      </c>
      <c r="L43" s="2">
        <v>7285</v>
      </c>
      <c r="M43" s="2">
        <v>235267</v>
      </c>
      <c r="N43" s="2">
        <v>5717</v>
      </c>
      <c r="O43" s="41">
        <v>2.5000000000000001E-3</v>
      </c>
      <c r="P43" s="7">
        <f t="shared" si="3"/>
        <v>8.0130583829607513E-2</v>
      </c>
      <c r="Q43" s="7">
        <f t="shared" si="4"/>
        <v>1.9471772401308564E-3</v>
      </c>
      <c r="R43" s="1">
        <v>0.66</v>
      </c>
      <c r="S43" s="7">
        <v>1.6000000000000001E-3</v>
      </c>
      <c r="T43" t="str">
        <f t="shared" si="2"/>
        <v>Bad</v>
      </c>
    </row>
    <row r="44" spans="1:20" ht="15.75" customHeight="1" x14ac:dyDescent="0.25">
      <c r="A44" t="s">
        <v>23</v>
      </c>
      <c r="B44" t="s">
        <v>52</v>
      </c>
      <c r="C44" t="s">
        <v>15</v>
      </c>
      <c r="D44" t="s">
        <v>67</v>
      </c>
      <c r="E44" t="s">
        <v>16</v>
      </c>
      <c r="F44" t="s">
        <v>17</v>
      </c>
      <c r="G44" t="s">
        <v>18</v>
      </c>
      <c r="H44" s="1">
        <v>1769.56</v>
      </c>
      <c r="I44" s="2">
        <v>2754856</v>
      </c>
      <c r="J44" s="2">
        <v>1932105</v>
      </c>
      <c r="K44" s="2">
        <v>3737</v>
      </c>
      <c r="L44" s="2">
        <v>5929</v>
      </c>
      <c r="M44" s="2">
        <v>242664</v>
      </c>
      <c r="N44" s="2">
        <v>3731</v>
      </c>
      <c r="O44" s="41">
        <v>2.2000000000000001E-3</v>
      </c>
      <c r="P44" s="7">
        <f t="shared" si="3"/>
        <v>8.8085910842526802E-2</v>
      </c>
      <c r="Q44" s="7">
        <f t="shared" si="4"/>
        <v>1.3543357620144211E-3</v>
      </c>
      <c r="R44" s="1">
        <v>0.64</v>
      </c>
      <c r="S44" s="7">
        <v>1.4E-3</v>
      </c>
      <c r="T44" t="str">
        <f t="shared" si="2"/>
        <v>Bad</v>
      </c>
    </row>
    <row r="45" spans="1:20" ht="15.75" customHeight="1" x14ac:dyDescent="0.25">
      <c r="A45" t="s">
        <v>23</v>
      </c>
      <c r="B45" t="s">
        <v>52</v>
      </c>
      <c r="C45" t="s">
        <v>15</v>
      </c>
      <c r="D45" t="s">
        <v>67</v>
      </c>
      <c r="E45" t="s">
        <v>16</v>
      </c>
      <c r="F45" t="s">
        <v>17</v>
      </c>
      <c r="G45" t="s">
        <v>18</v>
      </c>
      <c r="H45" s="1">
        <v>1735.9</v>
      </c>
      <c r="I45" s="2">
        <v>2688164</v>
      </c>
      <c r="J45" s="2">
        <v>1854071</v>
      </c>
      <c r="K45" s="2">
        <v>3806</v>
      </c>
      <c r="L45" s="2">
        <v>6122</v>
      </c>
      <c r="M45" s="2">
        <v>249105</v>
      </c>
      <c r="N45" s="2">
        <v>5521</v>
      </c>
      <c r="O45" s="41">
        <v>2.3E-3</v>
      </c>
      <c r="P45" s="7">
        <f t="shared" si="3"/>
        <v>9.2667337260673083E-2</v>
      </c>
      <c r="Q45" s="7">
        <f t="shared" si="4"/>
        <v>2.0538181450238898E-3</v>
      </c>
      <c r="R45" s="1">
        <v>0.65</v>
      </c>
      <c r="S45" s="7">
        <v>1.4E-3</v>
      </c>
      <c r="T45" t="str">
        <f t="shared" si="2"/>
        <v>Bad</v>
      </c>
    </row>
    <row r="46" spans="1:20" ht="15.75" customHeight="1" x14ac:dyDescent="0.25">
      <c r="A46" t="s">
        <v>23</v>
      </c>
      <c r="B46" t="s">
        <v>52</v>
      </c>
      <c r="C46" t="s">
        <v>15</v>
      </c>
      <c r="D46" t="s">
        <v>67</v>
      </c>
      <c r="E46" t="s">
        <v>16</v>
      </c>
      <c r="F46" t="s">
        <v>17</v>
      </c>
      <c r="G46" t="s">
        <v>18</v>
      </c>
      <c r="H46" s="1">
        <v>639.37</v>
      </c>
      <c r="I46" s="2">
        <v>1054224</v>
      </c>
      <c r="J46" s="2">
        <v>902641</v>
      </c>
      <c r="K46" s="2">
        <v>0</v>
      </c>
      <c r="L46" s="2">
        <v>1005</v>
      </c>
      <c r="M46" s="2">
        <v>114444</v>
      </c>
      <c r="N46" s="2">
        <v>2093</v>
      </c>
      <c r="O46" s="72" t="s">
        <v>106</v>
      </c>
      <c r="P46" s="7">
        <f t="shared" si="3"/>
        <v>0.10855757410189865</v>
      </c>
      <c r="Q46" s="7">
        <f t="shared" si="4"/>
        <v>1.9853465677123648E-3</v>
      </c>
      <c r="R46" s="1">
        <v>0.61</v>
      </c>
      <c r="S46" s="7">
        <v>0</v>
      </c>
      <c r="T46" t="str">
        <f t="shared" si="2"/>
        <v>Bad</v>
      </c>
    </row>
    <row r="47" spans="1:20" ht="15.75" customHeight="1" x14ac:dyDescent="0.25">
      <c r="A47" t="s">
        <v>23</v>
      </c>
      <c r="B47" t="s">
        <v>52</v>
      </c>
      <c r="C47" t="s">
        <v>15</v>
      </c>
      <c r="D47" t="s">
        <v>67</v>
      </c>
      <c r="E47" t="s">
        <v>20</v>
      </c>
      <c r="F47" t="s">
        <v>17</v>
      </c>
      <c r="G47" t="s">
        <v>18</v>
      </c>
      <c r="H47" s="1">
        <v>566.09</v>
      </c>
      <c r="I47" s="2">
        <v>966237</v>
      </c>
      <c r="J47" s="2">
        <v>821458</v>
      </c>
      <c r="K47" s="2">
        <v>0</v>
      </c>
      <c r="L47" s="2">
        <v>858</v>
      </c>
      <c r="M47" s="2">
        <v>84091</v>
      </c>
      <c r="N47" s="2">
        <v>1645</v>
      </c>
      <c r="O47" s="41">
        <v>8.9999999999999998E-4</v>
      </c>
      <c r="P47" s="7">
        <f t="shared" si="3"/>
        <v>8.7029372710835953E-2</v>
      </c>
      <c r="Q47" s="7">
        <f t="shared" si="4"/>
        <v>1.7024808613207733E-3</v>
      </c>
      <c r="R47" s="1">
        <v>0.59</v>
      </c>
      <c r="S47" s="7">
        <v>0</v>
      </c>
      <c r="T47" t="str">
        <f t="shared" si="2"/>
        <v>Bad</v>
      </c>
    </row>
    <row r="48" spans="1:20" ht="15.75" customHeight="1" x14ac:dyDescent="0.25">
      <c r="A48" t="s">
        <v>23</v>
      </c>
      <c r="B48" t="s">
        <v>52</v>
      </c>
      <c r="C48" t="s">
        <v>15</v>
      </c>
      <c r="D48" t="s">
        <v>67</v>
      </c>
      <c r="E48" t="s">
        <v>16</v>
      </c>
      <c r="F48" t="s">
        <v>17</v>
      </c>
      <c r="G48" t="s">
        <v>18</v>
      </c>
      <c r="H48" s="1">
        <v>452.32</v>
      </c>
      <c r="I48" s="2">
        <v>813410</v>
      </c>
      <c r="J48" s="2">
        <v>695315</v>
      </c>
      <c r="K48" s="2">
        <v>0</v>
      </c>
      <c r="L48" s="2">
        <v>762</v>
      </c>
      <c r="M48" s="2">
        <v>84852</v>
      </c>
      <c r="N48" s="2">
        <v>1036</v>
      </c>
      <c r="O48" s="41">
        <v>8.9999999999999998E-4</v>
      </c>
      <c r="P48" s="7">
        <f t="shared" si="3"/>
        <v>0.10431639640525688</v>
      </c>
      <c r="Q48" s="7">
        <f t="shared" si="4"/>
        <v>1.2736504345901821E-3</v>
      </c>
      <c r="R48" s="1">
        <v>0.56000000000000005</v>
      </c>
      <c r="S48" s="7">
        <v>0</v>
      </c>
      <c r="T48" t="str">
        <f t="shared" si="2"/>
        <v>Bad</v>
      </c>
    </row>
    <row r="49" spans="1:20" ht="15.75" customHeight="1" x14ac:dyDescent="0.25">
      <c r="A49" t="s">
        <v>23</v>
      </c>
      <c r="B49" t="s">
        <v>52</v>
      </c>
      <c r="C49" t="s">
        <v>15</v>
      </c>
      <c r="D49" t="s">
        <v>67</v>
      </c>
      <c r="E49" t="s">
        <v>20</v>
      </c>
      <c r="F49" t="s">
        <v>17</v>
      </c>
      <c r="G49" t="s">
        <v>18</v>
      </c>
      <c r="H49" s="1">
        <v>413.87</v>
      </c>
      <c r="I49" s="2">
        <v>777584</v>
      </c>
      <c r="J49" s="2">
        <v>668221</v>
      </c>
      <c r="K49" s="2">
        <v>0</v>
      </c>
      <c r="L49" s="2">
        <v>710</v>
      </c>
      <c r="M49" s="2">
        <v>63508</v>
      </c>
      <c r="N49" s="2">
        <v>913</v>
      </c>
      <c r="O49" s="41">
        <v>8.9999999999999998E-4</v>
      </c>
      <c r="P49" s="7">
        <f t="shared" si="3"/>
        <v>8.1673491224099268E-2</v>
      </c>
      <c r="Q49" s="7">
        <f t="shared" si="4"/>
        <v>1.1741496738616021E-3</v>
      </c>
      <c r="R49" s="1">
        <v>0.53</v>
      </c>
      <c r="S49" s="7">
        <v>0</v>
      </c>
      <c r="T49" t="str">
        <f t="shared" si="2"/>
        <v>Bad</v>
      </c>
    </row>
    <row r="50" spans="1:20" ht="15.75" customHeight="1" x14ac:dyDescent="0.25">
      <c r="A50" t="s">
        <v>24</v>
      </c>
      <c r="B50" t="s">
        <v>53</v>
      </c>
      <c r="C50" t="s">
        <v>15</v>
      </c>
      <c r="D50" t="s">
        <v>67</v>
      </c>
      <c r="E50" t="s">
        <v>16</v>
      </c>
      <c r="F50" t="s">
        <v>17</v>
      </c>
      <c r="G50" t="s">
        <v>18</v>
      </c>
      <c r="H50" s="1">
        <v>237.91</v>
      </c>
      <c r="I50" s="2">
        <v>458426</v>
      </c>
      <c r="J50" s="2">
        <v>295305</v>
      </c>
      <c r="K50" s="2">
        <v>899</v>
      </c>
      <c r="L50" s="2">
        <v>2251</v>
      </c>
      <c r="M50" s="2">
        <v>86823</v>
      </c>
      <c r="N50" s="2">
        <v>1840</v>
      </c>
      <c r="O50" s="41">
        <v>4.8999999999999998E-3</v>
      </c>
      <c r="P50" s="7">
        <f t="shared" si="3"/>
        <v>0.18939370803575714</v>
      </c>
      <c r="Q50" s="7">
        <f t="shared" si="4"/>
        <v>4.0137339505176405E-3</v>
      </c>
      <c r="R50" s="1">
        <v>0.52</v>
      </c>
      <c r="S50" s="7">
        <v>2E-3</v>
      </c>
      <c r="T50" t="str">
        <f t="shared" si="2"/>
        <v>Bad</v>
      </c>
    </row>
    <row r="51" spans="1:20" ht="15.75" customHeight="1" x14ac:dyDescent="0.25">
      <c r="A51" t="s">
        <v>24</v>
      </c>
      <c r="B51" t="s">
        <v>53</v>
      </c>
      <c r="C51" t="s">
        <v>15</v>
      </c>
      <c r="D51" t="s">
        <v>67</v>
      </c>
      <c r="E51" t="s">
        <v>20</v>
      </c>
      <c r="F51" t="s">
        <v>17</v>
      </c>
      <c r="G51" t="s">
        <v>18</v>
      </c>
      <c r="H51" s="1">
        <v>236.25</v>
      </c>
      <c r="I51" s="2">
        <v>450795</v>
      </c>
      <c r="J51" s="2">
        <v>288758</v>
      </c>
      <c r="K51" s="2">
        <v>956</v>
      </c>
      <c r="L51" s="2">
        <v>2193</v>
      </c>
      <c r="M51" s="2">
        <v>72364</v>
      </c>
      <c r="N51" s="2">
        <v>1718</v>
      </c>
      <c r="O51" s="41">
        <v>4.8999999999999998E-3</v>
      </c>
      <c r="P51" s="7">
        <f t="shared" si="3"/>
        <v>0.16052529420246453</v>
      </c>
      <c r="Q51" s="7">
        <f t="shared" si="4"/>
        <v>3.8110449317317182E-3</v>
      </c>
      <c r="R51" s="1">
        <v>0.52</v>
      </c>
      <c r="S51" s="7">
        <v>2.0999999999999999E-3</v>
      </c>
      <c r="T51" t="str">
        <f t="shared" si="2"/>
        <v>Bad</v>
      </c>
    </row>
    <row r="52" spans="1:20" ht="15.75" customHeight="1" x14ac:dyDescent="0.25">
      <c r="A52" t="s">
        <v>24</v>
      </c>
      <c r="B52" t="s">
        <v>53</v>
      </c>
      <c r="C52" t="s">
        <v>15</v>
      </c>
      <c r="D52" t="s">
        <v>67</v>
      </c>
      <c r="E52" t="s">
        <v>20</v>
      </c>
      <c r="F52" t="s">
        <v>17</v>
      </c>
      <c r="G52" t="s">
        <v>18</v>
      </c>
      <c r="H52" s="1">
        <v>232.76</v>
      </c>
      <c r="I52" s="2">
        <v>451843</v>
      </c>
      <c r="J52" s="2">
        <v>291261</v>
      </c>
      <c r="K52" s="2">
        <v>907</v>
      </c>
      <c r="L52" s="2">
        <v>2162</v>
      </c>
      <c r="M52" s="2">
        <v>68165</v>
      </c>
      <c r="N52" s="2">
        <v>1072</v>
      </c>
      <c r="O52" s="41">
        <v>4.7999999999999996E-3</v>
      </c>
      <c r="P52" s="7">
        <f t="shared" si="3"/>
        <v>0.15085992258372929</v>
      </c>
      <c r="Q52" s="7">
        <f t="shared" si="4"/>
        <v>2.3725054941650088E-3</v>
      </c>
      <c r="R52" s="1">
        <v>0.52</v>
      </c>
      <c r="S52" s="7">
        <v>2E-3</v>
      </c>
      <c r="T52" t="str">
        <f t="shared" si="2"/>
        <v>Bad</v>
      </c>
    </row>
    <row r="53" spans="1:20" ht="15.75" customHeight="1" x14ac:dyDescent="0.25">
      <c r="A53" t="s">
        <v>24</v>
      </c>
      <c r="B53" t="s">
        <v>53</v>
      </c>
      <c r="C53" t="s">
        <v>15</v>
      </c>
      <c r="D53" t="s">
        <v>67</v>
      </c>
      <c r="E53" t="s">
        <v>16</v>
      </c>
      <c r="F53" t="s">
        <v>17</v>
      </c>
      <c r="G53" t="s">
        <v>18</v>
      </c>
      <c r="H53" s="1">
        <v>232.33</v>
      </c>
      <c r="I53" s="2">
        <v>450308</v>
      </c>
      <c r="J53" s="2">
        <v>291322</v>
      </c>
      <c r="K53" s="2">
        <v>851</v>
      </c>
      <c r="L53" s="2">
        <v>2168</v>
      </c>
      <c r="M53" s="2">
        <v>79762</v>
      </c>
      <c r="N53" s="2">
        <v>1141</v>
      </c>
      <c r="O53" s="41">
        <v>4.7999999999999996E-3</v>
      </c>
      <c r="P53" s="7">
        <f t="shared" si="3"/>
        <v>0.17712765484956963</v>
      </c>
      <c r="Q53" s="7">
        <f t="shared" si="4"/>
        <v>2.5338212956465354E-3</v>
      </c>
      <c r="R53" s="1">
        <v>0.52</v>
      </c>
      <c r="S53" s="7">
        <v>1.9E-3</v>
      </c>
      <c r="T53" t="str">
        <f t="shared" si="2"/>
        <v>Bad</v>
      </c>
    </row>
    <row r="54" spans="1:20" ht="15.75" customHeight="1" x14ac:dyDescent="0.25">
      <c r="A54" t="s">
        <v>24</v>
      </c>
      <c r="B54" t="s">
        <v>53</v>
      </c>
      <c r="C54" t="s">
        <v>15</v>
      </c>
      <c r="D54" t="s">
        <v>67</v>
      </c>
      <c r="E54" t="s">
        <v>16</v>
      </c>
      <c r="F54" t="s">
        <v>17</v>
      </c>
      <c r="G54" t="s">
        <v>18</v>
      </c>
      <c r="H54" s="1">
        <v>30.07</v>
      </c>
      <c r="I54" s="2">
        <v>82290</v>
      </c>
      <c r="J54" s="2">
        <v>71582</v>
      </c>
      <c r="K54" s="2">
        <v>0</v>
      </c>
      <c r="L54" s="2">
        <v>297</v>
      </c>
      <c r="M54" s="2">
        <v>18070</v>
      </c>
      <c r="N54" s="2">
        <v>350</v>
      </c>
      <c r="O54" s="41">
        <v>3.5999999999999999E-3</v>
      </c>
      <c r="P54" s="7">
        <f t="shared" si="3"/>
        <v>0.21958925750394945</v>
      </c>
      <c r="Q54" s="7">
        <f t="shared" si="4"/>
        <v>4.2532506987483292E-3</v>
      </c>
      <c r="R54" s="1">
        <v>0.37</v>
      </c>
      <c r="S54" s="7">
        <v>0</v>
      </c>
      <c r="T54" t="str">
        <f t="shared" si="2"/>
        <v>Bad</v>
      </c>
    </row>
    <row r="55" spans="1:20" ht="15.75" customHeight="1" x14ac:dyDescent="0.25">
      <c r="A55" t="s">
        <v>24</v>
      </c>
      <c r="B55" t="s">
        <v>53</v>
      </c>
      <c r="C55" t="s">
        <v>15</v>
      </c>
      <c r="D55" t="s">
        <v>67</v>
      </c>
      <c r="E55" t="s">
        <v>20</v>
      </c>
      <c r="F55" t="s">
        <v>17</v>
      </c>
      <c r="G55" t="s">
        <v>18</v>
      </c>
      <c r="H55" s="1">
        <v>21.86</v>
      </c>
      <c r="I55" s="2">
        <v>71598</v>
      </c>
      <c r="J55" s="2">
        <v>62420</v>
      </c>
      <c r="K55" s="2">
        <v>0</v>
      </c>
      <c r="L55" s="2">
        <v>215</v>
      </c>
      <c r="M55" s="2">
        <v>13068</v>
      </c>
      <c r="N55" s="2">
        <v>241</v>
      </c>
      <c r="O55" s="41">
        <v>3.0000000000000001E-3</v>
      </c>
      <c r="P55" s="7">
        <f t="shared" si="3"/>
        <v>0.18251906477834576</v>
      </c>
      <c r="Q55" s="7">
        <f t="shared" si="4"/>
        <v>3.3660158104974998E-3</v>
      </c>
      <c r="R55" s="1">
        <v>0.31</v>
      </c>
      <c r="S55" s="7">
        <v>0</v>
      </c>
      <c r="T55" t="str">
        <f t="shared" si="2"/>
        <v>Bad</v>
      </c>
    </row>
    <row r="56" spans="1:20" ht="15.75" customHeight="1" x14ac:dyDescent="0.25">
      <c r="A56" t="s">
        <v>24</v>
      </c>
      <c r="B56" t="s">
        <v>53</v>
      </c>
      <c r="C56" t="s">
        <v>15</v>
      </c>
      <c r="D56" t="s">
        <v>67</v>
      </c>
      <c r="E56" t="s">
        <v>16</v>
      </c>
      <c r="F56" t="s">
        <v>17</v>
      </c>
      <c r="G56" t="s">
        <v>18</v>
      </c>
      <c r="H56" s="1">
        <v>19.559999999999999</v>
      </c>
      <c r="I56" s="2">
        <v>69350</v>
      </c>
      <c r="J56" s="2">
        <v>60603</v>
      </c>
      <c r="K56" s="2">
        <v>0</v>
      </c>
      <c r="L56" s="2">
        <v>256</v>
      </c>
      <c r="M56" s="2">
        <v>14302</v>
      </c>
      <c r="N56" s="2">
        <v>154</v>
      </c>
      <c r="O56" s="41">
        <v>3.7000000000000002E-3</v>
      </c>
      <c r="P56" s="7">
        <f t="shared" si="3"/>
        <v>0.20622927180966114</v>
      </c>
      <c r="Q56" s="7">
        <f t="shared" si="4"/>
        <v>2.2206200432588318E-3</v>
      </c>
      <c r="R56" s="1">
        <v>0.28000000000000003</v>
      </c>
      <c r="S56" s="7">
        <v>0</v>
      </c>
      <c r="T56" t="str">
        <f t="shared" si="2"/>
        <v>Bad</v>
      </c>
    </row>
    <row r="57" spans="1:20" ht="15.75" customHeight="1" x14ac:dyDescent="0.25">
      <c r="A57" t="s">
        <v>24</v>
      </c>
      <c r="B57" t="s">
        <v>53</v>
      </c>
      <c r="C57" t="s">
        <v>15</v>
      </c>
      <c r="D57" t="s">
        <v>67</v>
      </c>
      <c r="E57" t="s">
        <v>20</v>
      </c>
      <c r="F57" t="s">
        <v>17</v>
      </c>
      <c r="G57" t="s">
        <v>18</v>
      </c>
      <c r="H57" s="1">
        <v>16.559999999999999</v>
      </c>
      <c r="I57" s="2">
        <v>64252</v>
      </c>
      <c r="J57" s="2">
        <v>56048</v>
      </c>
      <c r="K57" s="2">
        <v>0</v>
      </c>
      <c r="L57" s="2">
        <v>182</v>
      </c>
      <c r="M57" s="2">
        <v>11033</v>
      </c>
      <c r="N57" s="2">
        <v>121</v>
      </c>
      <c r="O57" s="41">
        <v>2.8E-3</v>
      </c>
      <c r="P57" s="7">
        <f t="shared" si="3"/>
        <v>0.17171449915955925</v>
      </c>
      <c r="Q57" s="7">
        <f t="shared" si="4"/>
        <v>1.8832098611716367E-3</v>
      </c>
      <c r="R57" s="1">
        <v>0.26</v>
      </c>
      <c r="S57" s="7">
        <v>0</v>
      </c>
      <c r="T57" t="str">
        <f t="shared" si="2"/>
        <v>Bad</v>
      </c>
    </row>
    <row r="58" spans="1:20" ht="15.75" customHeight="1" x14ac:dyDescent="0.25">
      <c r="A58" t="s">
        <v>25</v>
      </c>
      <c r="B58" t="s">
        <v>54</v>
      </c>
      <c r="C58" t="s">
        <v>15</v>
      </c>
      <c r="D58" t="s">
        <v>67</v>
      </c>
      <c r="E58" t="s">
        <v>20</v>
      </c>
      <c r="F58" t="s">
        <v>17</v>
      </c>
      <c r="G58" t="s">
        <v>18</v>
      </c>
      <c r="H58" s="1">
        <v>2552.96</v>
      </c>
      <c r="I58" s="2">
        <v>2331205</v>
      </c>
      <c r="J58" s="2">
        <v>1640434</v>
      </c>
      <c r="K58" s="2">
        <v>3534</v>
      </c>
      <c r="L58" s="2">
        <v>8539</v>
      </c>
      <c r="M58" s="2">
        <v>212666</v>
      </c>
      <c r="N58" s="2">
        <v>4535</v>
      </c>
      <c r="O58" s="41">
        <v>3.7000000000000002E-3</v>
      </c>
      <c r="P58" s="7">
        <f t="shared" si="3"/>
        <v>9.1225782374351458E-2</v>
      </c>
      <c r="Q58" s="7">
        <f t="shared" si="4"/>
        <v>1.9453458619040367E-3</v>
      </c>
      <c r="R58" s="1">
        <v>1.1000000000000001</v>
      </c>
      <c r="S58" s="7">
        <v>1.5E-3</v>
      </c>
      <c r="T58" t="str">
        <f t="shared" si="2"/>
        <v>Bad</v>
      </c>
    </row>
    <row r="59" spans="1:20" ht="15.75" customHeight="1" x14ac:dyDescent="0.25">
      <c r="A59" t="s">
        <v>25</v>
      </c>
      <c r="B59" t="s">
        <v>54</v>
      </c>
      <c r="C59" t="s">
        <v>15</v>
      </c>
      <c r="D59" t="s">
        <v>67</v>
      </c>
      <c r="E59" t="s">
        <v>20</v>
      </c>
      <c r="F59" t="s">
        <v>17</v>
      </c>
      <c r="G59" t="s">
        <v>18</v>
      </c>
      <c r="H59" s="1">
        <v>2494.69</v>
      </c>
      <c r="I59" s="2">
        <v>2288879</v>
      </c>
      <c r="J59" s="2">
        <v>1607282</v>
      </c>
      <c r="K59" s="2">
        <v>3494</v>
      </c>
      <c r="L59" s="2">
        <v>8319</v>
      </c>
      <c r="M59" s="2">
        <v>221321</v>
      </c>
      <c r="N59" s="2">
        <v>6055</v>
      </c>
      <c r="O59" s="41">
        <v>3.5999999999999999E-3</v>
      </c>
      <c r="P59" s="7">
        <f t="shared" si="3"/>
        <v>9.6694058532582977E-2</v>
      </c>
      <c r="Q59" s="7">
        <f t="shared" si="4"/>
        <v>2.6453997786689467E-3</v>
      </c>
      <c r="R59" s="1">
        <v>1.0900000000000001</v>
      </c>
      <c r="S59" s="7">
        <v>1.5E-3</v>
      </c>
      <c r="T59" t="str">
        <f t="shared" si="2"/>
        <v>Bad</v>
      </c>
    </row>
    <row r="60" spans="1:20" ht="15.75" customHeight="1" x14ac:dyDescent="0.25">
      <c r="A60" t="s">
        <v>25</v>
      </c>
      <c r="B60" t="s">
        <v>54</v>
      </c>
      <c r="C60" t="s">
        <v>15</v>
      </c>
      <c r="D60" t="s">
        <v>67</v>
      </c>
      <c r="E60" t="s">
        <v>16</v>
      </c>
      <c r="F60" t="s">
        <v>17</v>
      </c>
      <c r="G60" t="s">
        <v>18</v>
      </c>
      <c r="H60" s="1">
        <v>2461.48</v>
      </c>
      <c r="I60" s="2">
        <v>2264381</v>
      </c>
      <c r="J60" s="2">
        <v>1594418</v>
      </c>
      <c r="K60" s="2">
        <v>2936</v>
      </c>
      <c r="L60" s="2">
        <v>8219</v>
      </c>
      <c r="M60" s="2">
        <v>251997</v>
      </c>
      <c r="N60" s="2">
        <v>5863</v>
      </c>
      <c r="O60" s="41">
        <v>3.5999999999999999E-3</v>
      </c>
      <c r="P60" s="7">
        <f t="shared" si="3"/>
        <v>0.11128736727609002</v>
      </c>
      <c r="Q60" s="7">
        <f t="shared" si="4"/>
        <v>2.5892285794660882E-3</v>
      </c>
      <c r="R60" s="1">
        <v>1.0900000000000001</v>
      </c>
      <c r="S60" s="7">
        <v>1.2999999999999999E-3</v>
      </c>
      <c r="T60" t="str">
        <f t="shared" si="2"/>
        <v>Bad</v>
      </c>
    </row>
    <row r="61" spans="1:20" ht="15.75" customHeight="1" x14ac:dyDescent="0.25">
      <c r="A61" t="s">
        <v>25</v>
      </c>
      <c r="B61" t="s">
        <v>54</v>
      </c>
      <c r="C61" t="s">
        <v>15</v>
      </c>
      <c r="D61" t="s">
        <v>67</v>
      </c>
      <c r="E61" t="s">
        <v>16</v>
      </c>
      <c r="F61" t="s">
        <v>17</v>
      </c>
      <c r="G61" t="s">
        <v>18</v>
      </c>
      <c r="H61" s="1">
        <v>2332.7800000000002</v>
      </c>
      <c r="I61" s="2">
        <v>2168009</v>
      </c>
      <c r="J61" s="2">
        <v>1548287</v>
      </c>
      <c r="K61" s="2">
        <v>2719</v>
      </c>
      <c r="L61" s="2">
        <v>7464</v>
      </c>
      <c r="M61" s="2">
        <v>212398</v>
      </c>
      <c r="N61" s="2">
        <v>4253</v>
      </c>
      <c r="O61" s="41">
        <v>3.3999999999999998E-3</v>
      </c>
      <c r="P61" s="7">
        <f t="shared" si="3"/>
        <v>9.7969150497068974E-2</v>
      </c>
      <c r="Q61" s="7">
        <f t="shared" si="4"/>
        <v>1.9617077235380481E-3</v>
      </c>
      <c r="R61" s="1">
        <v>1.08</v>
      </c>
      <c r="S61" s="7">
        <v>1.2999999999999999E-3</v>
      </c>
      <c r="T61" t="str">
        <f t="shared" si="2"/>
        <v>Bad</v>
      </c>
    </row>
    <row r="62" spans="1:20" ht="15.75" customHeight="1" x14ac:dyDescent="0.25">
      <c r="A62" t="s">
        <v>25</v>
      </c>
      <c r="B62" t="s">
        <v>54</v>
      </c>
      <c r="C62" t="s">
        <v>15</v>
      </c>
      <c r="D62" t="s">
        <v>67</v>
      </c>
      <c r="E62" t="s">
        <v>16</v>
      </c>
      <c r="F62" t="s">
        <v>17</v>
      </c>
      <c r="G62" t="s">
        <v>18</v>
      </c>
      <c r="H62" s="1">
        <v>458.54</v>
      </c>
      <c r="I62" s="2">
        <v>615975</v>
      </c>
      <c r="J62" s="2">
        <v>543248</v>
      </c>
      <c r="K62" s="2">
        <v>0</v>
      </c>
      <c r="L62" s="2">
        <v>1099</v>
      </c>
      <c r="M62" s="2">
        <v>66295</v>
      </c>
      <c r="N62" s="2">
        <v>1350</v>
      </c>
      <c r="O62" s="41">
        <v>1.8E-3</v>
      </c>
      <c r="P62" s="7">
        <f t="shared" si="3"/>
        <v>0.10762612118998335</v>
      </c>
      <c r="Q62" s="7">
        <f t="shared" si="4"/>
        <v>2.1916473882868624E-3</v>
      </c>
      <c r="R62" s="1">
        <v>0.74</v>
      </c>
      <c r="S62" s="7">
        <v>0</v>
      </c>
      <c r="T62" t="str">
        <f t="shared" si="2"/>
        <v>Bad</v>
      </c>
    </row>
    <row r="63" spans="1:20" ht="15.75" customHeight="1" x14ac:dyDescent="0.25">
      <c r="A63" t="s">
        <v>25</v>
      </c>
      <c r="B63" t="s">
        <v>54</v>
      </c>
      <c r="C63" t="s">
        <v>15</v>
      </c>
      <c r="D63" t="s">
        <v>67</v>
      </c>
      <c r="E63" t="s">
        <v>20</v>
      </c>
      <c r="F63" t="s">
        <v>17</v>
      </c>
      <c r="G63" t="s">
        <v>18</v>
      </c>
      <c r="H63" s="1">
        <v>419.66</v>
      </c>
      <c r="I63" s="2">
        <v>578351</v>
      </c>
      <c r="J63" s="2">
        <v>511710</v>
      </c>
      <c r="K63" s="2">
        <v>0</v>
      </c>
      <c r="L63" s="2">
        <v>869</v>
      </c>
      <c r="M63" s="2">
        <v>52042</v>
      </c>
      <c r="N63" s="2">
        <v>1188</v>
      </c>
      <c r="O63" s="41">
        <v>1.5E-3</v>
      </c>
      <c r="P63" s="7">
        <f t="shared" si="3"/>
        <v>8.9983418373963217E-2</v>
      </c>
      <c r="Q63" s="7">
        <f t="shared" si="4"/>
        <v>2.0541159261417375E-3</v>
      </c>
      <c r="R63" s="1">
        <v>0.73</v>
      </c>
      <c r="S63" s="7">
        <v>0</v>
      </c>
      <c r="T63" t="str">
        <f t="shared" si="2"/>
        <v>Bad</v>
      </c>
    </row>
    <row r="64" spans="1:20" ht="15.75" customHeight="1" x14ac:dyDescent="0.25">
      <c r="A64" t="s">
        <v>25</v>
      </c>
      <c r="B64" t="s">
        <v>54</v>
      </c>
      <c r="C64" t="s">
        <v>15</v>
      </c>
      <c r="D64" t="s">
        <v>67</v>
      </c>
      <c r="E64" t="s">
        <v>16</v>
      </c>
      <c r="F64" t="s">
        <v>17</v>
      </c>
      <c r="G64" t="s">
        <v>18</v>
      </c>
      <c r="H64" s="1">
        <v>384.37</v>
      </c>
      <c r="I64" s="2">
        <v>543093</v>
      </c>
      <c r="J64" s="2">
        <v>486294</v>
      </c>
      <c r="K64" s="2">
        <v>0</v>
      </c>
      <c r="L64" s="2">
        <v>937</v>
      </c>
      <c r="M64" s="2">
        <v>50004</v>
      </c>
      <c r="N64" s="2">
        <v>849</v>
      </c>
      <c r="O64" s="41">
        <v>1.6999999999999999E-3</v>
      </c>
      <c r="P64" s="7">
        <f t="shared" si="3"/>
        <v>9.2072628444851992E-2</v>
      </c>
      <c r="Q64" s="7">
        <f t="shared" si="4"/>
        <v>1.5632681695400235E-3</v>
      </c>
      <c r="R64" s="1">
        <v>0.71</v>
      </c>
      <c r="S64" s="7">
        <v>0</v>
      </c>
      <c r="T64" t="str">
        <f t="shared" si="2"/>
        <v>Bad</v>
      </c>
    </row>
    <row r="65" spans="1:20" ht="15.75" customHeight="1" x14ac:dyDescent="0.25">
      <c r="A65" t="s">
        <v>25</v>
      </c>
      <c r="B65" t="s">
        <v>54</v>
      </c>
      <c r="C65" t="s">
        <v>15</v>
      </c>
      <c r="D65" t="s">
        <v>67</v>
      </c>
      <c r="E65" t="s">
        <v>20</v>
      </c>
      <c r="F65" t="s">
        <v>17</v>
      </c>
      <c r="G65" t="s">
        <v>18</v>
      </c>
      <c r="H65" s="1">
        <v>360.73</v>
      </c>
      <c r="I65" s="2">
        <v>522000</v>
      </c>
      <c r="J65" s="2">
        <v>467501</v>
      </c>
      <c r="K65" s="2">
        <v>0</v>
      </c>
      <c r="L65" s="2">
        <v>821</v>
      </c>
      <c r="M65" s="2">
        <v>43072</v>
      </c>
      <c r="N65" s="2">
        <v>814</v>
      </c>
      <c r="O65" s="41">
        <v>1.6000000000000001E-3</v>
      </c>
      <c r="P65" s="7">
        <f t="shared" si="3"/>
        <v>8.2513409961685824E-2</v>
      </c>
      <c r="Q65" s="7">
        <f t="shared" si="4"/>
        <v>1.5593869731800767E-3</v>
      </c>
      <c r="R65" s="1">
        <v>0.69</v>
      </c>
      <c r="S65" s="7">
        <v>0</v>
      </c>
      <c r="T65" t="str">
        <f t="shared" si="2"/>
        <v>Bad</v>
      </c>
    </row>
    <row r="66" spans="1:20" ht="15.75" customHeight="1" x14ac:dyDescent="0.25">
      <c r="A66" t="s">
        <v>25</v>
      </c>
      <c r="B66" t="s">
        <v>54</v>
      </c>
      <c r="C66" t="s">
        <v>38</v>
      </c>
      <c r="D66" t="s">
        <v>68</v>
      </c>
      <c r="E66" t="s">
        <v>16</v>
      </c>
      <c r="F66" t="s">
        <v>17</v>
      </c>
      <c r="G66" t="s">
        <v>18</v>
      </c>
      <c r="H66" s="1">
        <v>59.88</v>
      </c>
      <c r="I66" s="2">
        <v>7626</v>
      </c>
      <c r="J66" s="2">
        <v>6047</v>
      </c>
      <c r="K66" s="2">
        <v>21</v>
      </c>
      <c r="L66" s="2">
        <v>60</v>
      </c>
      <c r="M66" s="2">
        <v>1650</v>
      </c>
      <c r="N66" s="2">
        <v>42</v>
      </c>
      <c r="O66" s="41">
        <v>7.9000000000000008E-3</v>
      </c>
      <c r="P66" s="7">
        <f t="shared" ref="P66:P73" si="5">(M66/I66)</f>
        <v>0.21636506687647522</v>
      </c>
      <c r="Q66" s="7">
        <f t="shared" ref="Q66:Q73" si="6">(N66/I66)</f>
        <v>5.5074744295830055E-3</v>
      </c>
      <c r="R66" s="1">
        <v>7.85</v>
      </c>
      <c r="S66" s="7">
        <v>2.8E-3</v>
      </c>
      <c r="T66" t="str">
        <f t="shared" si="2"/>
        <v>Bad</v>
      </c>
    </row>
    <row r="67" spans="1:20" ht="15.75" customHeight="1" x14ac:dyDescent="0.25">
      <c r="A67" t="s">
        <v>25</v>
      </c>
      <c r="B67" t="s">
        <v>54</v>
      </c>
      <c r="C67" t="s">
        <v>38</v>
      </c>
      <c r="D67" t="s">
        <v>68</v>
      </c>
      <c r="E67" t="s">
        <v>20</v>
      </c>
      <c r="F67" t="s">
        <v>17</v>
      </c>
      <c r="G67" t="s">
        <v>18</v>
      </c>
      <c r="H67" s="1">
        <v>58.99</v>
      </c>
      <c r="I67" s="2">
        <v>7694</v>
      </c>
      <c r="J67" s="2">
        <v>6013</v>
      </c>
      <c r="K67" s="2">
        <v>18</v>
      </c>
      <c r="L67" s="2">
        <v>54</v>
      </c>
      <c r="M67" s="2">
        <v>1483</v>
      </c>
      <c r="N67" s="2">
        <v>58</v>
      </c>
      <c r="O67" s="41">
        <v>6.9999999999999993E-3</v>
      </c>
      <c r="P67" s="7">
        <f t="shared" si="5"/>
        <v>0.19274759552898363</v>
      </c>
      <c r="Q67" s="7">
        <f t="shared" si="6"/>
        <v>7.5383415648557321E-3</v>
      </c>
      <c r="R67" s="1">
        <v>7.67</v>
      </c>
      <c r="S67" s="7">
        <v>2.3E-3</v>
      </c>
      <c r="T67" t="str">
        <f t="shared" ref="T67:T73" si="7">IF(S67&lt;1.5%, "Bad", "Good")</f>
        <v>Bad</v>
      </c>
    </row>
    <row r="68" spans="1:20" ht="15.75" customHeight="1" x14ac:dyDescent="0.25">
      <c r="A68" t="s">
        <v>25</v>
      </c>
      <c r="B68" t="s">
        <v>54</v>
      </c>
      <c r="C68" t="s">
        <v>38</v>
      </c>
      <c r="D68" t="s">
        <v>68</v>
      </c>
      <c r="E68" t="s">
        <v>20</v>
      </c>
      <c r="F68" t="s">
        <v>17</v>
      </c>
      <c r="G68" t="s">
        <v>18</v>
      </c>
      <c r="H68" s="1">
        <v>58.95</v>
      </c>
      <c r="I68" s="2">
        <v>7686</v>
      </c>
      <c r="J68" s="2">
        <v>6081</v>
      </c>
      <c r="K68" s="2">
        <v>27</v>
      </c>
      <c r="L68" s="2">
        <v>74</v>
      </c>
      <c r="M68" s="2">
        <v>1521</v>
      </c>
      <c r="N68" s="2">
        <v>37</v>
      </c>
      <c r="O68" s="41">
        <v>9.5999999999999992E-3</v>
      </c>
      <c r="P68" s="7">
        <f t="shared" si="5"/>
        <v>0.19789227166276346</v>
      </c>
      <c r="Q68" s="7">
        <f t="shared" si="6"/>
        <v>4.813947436898257E-3</v>
      </c>
      <c r="R68" s="1">
        <v>7.67</v>
      </c>
      <c r="S68" s="7">
        <v>3.5000000000000001E-3</v>
      </c>
      <c r="T68" t="str">
        <f t="shared" si="7"/>
        <v>Bad</v>
      </c>
    </row>
    <row r="69" spans="1:20" ht="15.75" customHeight="1" x14ac:dyDescent="0.25">
      <c r="A69" t="s">
        <v>25</v>
      </c>
      <c r="B69" t="s">
        <v>54</v>
      </c>
      <c r="C69" t="s">
        <v>38</v>
      </c>
      <c r="D69" t="s">
        <v>68</v>
      </c>
      <c r="E69" t="s">
        <v>16</v>
      </c>
      <c r="F69" t="s">
        <v>17</v>
      </c>
      <c r="G69" t="s">
        <v>18</v>
      </c>
      <c r="H69" s="1">
        <v>57.35</v>
      </c>
      <c r="I69" s="2">
        <v>7501</v>
      </c>
      <c r="J69" s="2">
        <v>5940</v>
      </c>
      <c r="K69" s="2">
        <v>20</v>
      </c>
      <c r="L69" s="2">
        <v>51</v>
      </c>
      <c r="M69" s="2">
        <v>1528</v>
      </c>
      <c r="N69" s="2">
        <v>29</v>
      </c>
      <c r="O69" s="41">
        <v>6.7999999999999996E-3</v>
      </c>
      <c r="P69" s="7">
        <f t="shared" si="5"/>
        <v>0.20370617251033196</v>
      </c>
      <c r="Q69" s="7">
        <f t="shared" si="6"/>
        <v>3.8661511798426876E-3</v>
      </c>
      <c r="R69" s="1">
        <v>7.65</v>
      </c>
      <c r="S69" s="7">
        <v>2.7000000000000001E-3</v>
      </c>
      <c r="T69" t="str">
        <f t="shared" si="7"/>
        <v>Bad</v>
      </c>
    </row>
    <row r="70" spans="1:20" ht="15.75" customHeight="1" x14ac:dyDescent="0.25">
      <c r="A70" t="s">
        <v>25</v>
      </c>
      <c r="B70" t="s">
        <v>54</v>
      </c>
      <c r="C70" t="s">
        <v>38</v>
      </c>
      <c r="D70" t="s">
        <v>68</v>
      </c>
      <c r="E70" t="s">
        <v>16</v>
      </c>
      <c r="F70" t="s">
        <v>17</v>
      </c>
      <c r="G70" t="s">
        <v>18</v>
      </c>
      <c r="H70" s="1">
        <v>23.11</v>
      </c>
      <c r="I70" s="2">
        <v>5549</v>
      </c>
      <c r="J70" s="2">
        <v>4565</v>
      </c>
      <c r="K70" s="2">
        <v>0</v>
      </c>
      <c r="L70" s="2">
        <v>39</v>
      </c>
      <c r="M70" s="2">
        <v>1125</v>
      </c>
      <c r="N70" s="2">
        <v>31</v>
      </c>
      <c r="O70" s="41">
        <v>6.9999999999999993E-3</v>
      </c>
      <c r="P70" s="7">
        <f t="shared" si="5"/>
        <v>0.20273923229410704</v>
      </c>
      <c r="Q70" s="7">
        <f t="shared" si="6"/>
        <v>5.5865921787709499E-3</v>
      </c>
      <c r="R70" s="1">
        <v>4.16</v>
      </c>
      <c r="S70" s="7">
        <v>0</v>
      </c>
      <c r="T70" t="str">
        <f t="shared" si="7"/>
        <v>Bad</v>
      </c>
    </row>
    <row r="71" spans="1:20" ht="15.75" customHeight="1" x14ac:dyDescent="0.25">
      <c r="A71" t="s">
        <v>25</v>
      </c>
      <c r="B71" t="s">
        <v>54</v>
      </c>
      <c r="C71" t="s">
        <v>38</v>
      </c>
      <c r="D71" t="s">
        <v>68</v>
      </c>
      <c r="E71" t="s">
        <v>16</v>
      </c>
      <c r="F71" t="s">
        <v>17</v>
      </c>
      <c r="G71" t="s">
        <v>18</v>
      </c>
      <c r="H71" s="1">
        <v>22.17</v>
      </c>
      <c r="I71" s="2">
        <v>5600</v>
      </c>
      <c r="J71" s="2">
        <v>4476</v>
      </c>
      <c r="K71" s="2">
        <v>0</v>
      </c>
      <c r="L71" s="2">
        <v>39</v>
      </c>
      <c r="M71" s="2">
        <v>1202</v>
      </c>
      <c r="N71" s="2">
        <v>29</v>
      </c>
      <c r="O71" s="41">
        <v>6.9999999999999993E-3</v>
      </c>
      <c r="P71" s="7">
        <f t="shared" si="5"/>
        <v>0.21464285714285714</v>
      </c>
      <c r="Q71" s="7">
        <f t="shared" si="6"/>
        <v>5.1785714285714282E-3</v>
      </c>
      <c r="R71" s="1">
        <v>3.96</v>
      </c>
      <c r="S71" s="7">
        <v>0</v>
      </c>
      <c r="T71" t="str">
        <f t="shared" si="7"/>
        <v>Bad</v>
      </c>
    </row>
    <row r="72" spans="1:20" ht="15.75" customHeight="1" x14ac:dyDescent="0.25">
      <c r="A72" t="s">
        <v>25</v>
      </c>
      <c r="B72" t="s">
        <v>54</v>
      </c>
      <c r="C72" t="s">
        <v>38</v>
      </c>
      <c r="D72" t="s">
        <v>68</v>
      </c>
      <c r="E72" t="s">
        <v>20</v>
      </c>
      <c r="F72" t="s">
        <v>17</v>
      </c>
      <c r="G72" t="s">
        <v>18</v>
      </c>
      <c r="H72" s="1">
        <v>21.35</v>
      </c>
      <c r="I72" s="2">
        <v>4782</v>
      </c>
      <c r="J72" s="2">
        <v>3915</v>
      </c>
      <c r="K72" s="2">
        <v>0</v>
      </c>
      <c r="L72" s="2">
        <v>34</v>
      </c>
      <c r="M72" s="2">
        <v>937</v>
      </c>
      <c r="N72" s="2">
        <v>30</v>
      </c>
      <c r="O72" s="41">
        <v>7.1000000000000004E-3</v>
      </c>
      <c r="P72" s="7">
        <f t="shared" si="5"/>
        <v>0.19594312003345882</v>
      </c>
      <c r="Q72" s="7">
        <f t="shared" si="6"/>
        <v>6.2735257214554582E-3</v>
      </c>
      <c r="R72" s="1">
        <v>4.46</v>
      </c>
      <c r="S72" s="7">
        <v>0</v>
      </c>
      <c r="T72" t="str">
        <f t="shared" si="7"/>
        <v>Bad</v>
      </c>
    </row>
    <row r="73" spans="1:20" ht="15.75" customHeight="1" x14ac:dyDescent="0.25">
      <c r="A73" t="s">
        <v>25</v>
      </c>
      <c r="B73" t="s">
        <v>54</v>
      </c>
      <c r="C73" t="s">
        <v>38</v>
      </c>
      <c r="D73" t="s">
        <v>68</v>
      </c>
      <c r="E73" t="s">
        <v>20</v>
      </c>
      <c r="F73" t="s">
        <v>17</v>
      </c>
      <c r="G73" t="s">
        <v>18</v>
      </c>
      <c r="H73" s="1">
        <v>21.12</v>
      </c>
      <c r="I73" s="2">
        <v>4996</v>
      </c>
      <c r="J73" s="2">
        <v>4099</v>
      </c>
      <c r="K73" s="2">
        <v>0</v>
      </c>
      <c r="L73" s="2">
        <v>28</v>
      </c>
      <c r="M73" s="2">
        <v>1001</v>
      </c>
      <c r="N73" s="2">
        <v>32</v>
      </c>
      <c r="O73" s="41">
        <v>5.6000000000000008E-3</v>
      </c>
      <c r="P73" s="7">
        <f t="shared" si="5"/>
        <v>0.20036028823058447</v>
      </c>
      <c r="Q73" s="7">
        <f t="shared" si="6"/>
        <v>6.4051240992794231E-3</v>
      </c>
      <c r="R73" s="1">
        <v>4.2300000000000004</v>
      </c>
      <c r="S73" s="7">
        <v>0</v>
      </c>
      <c r="T73" t="str">
        <f t="shared" si="7"/>
        <v>Bad</v>
      </c>
    </row>
    <row r="74" spans="1:20" ht="15.75" customHeight="1" x14ac:dyDescent="0.25"/>
    <row r="75" spans="1:20" ht="15.75" customHeight="1" x14ac:dyDescent="0.25"/>
    <row r="76" spans="1:20" ht="15.75" customHeight="1" x14ac:dyDescent="0.25"/>
    <row r="77" spans="1:20" ht="15.75" customHeight="1" x14ac:dyDescent="0.25"/>
    <row r="78" spans="1:20" ht="15.75" customHeight="1" x14ac:dyDescent="0.25"/>
    <row r="79" spans="1:20" ht="15.75" customHeight="1" x14ac:dyDescent="0.25"/>
    <row r="80" spans="1:2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W1" xr:uid="{00000000-0001-0000-0000-000000000000}"/>
  <pageMargins left="0.7" right="0.7" top="0.75" bottom="0.75" header="0" footer="0"/>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W1000"/>
  <sheetViews>
    <sheetView topLeftCell="A2" zoomScale="108" workbookViewId="0">
      <selection activeCell="C29" sqref="C29"/>
    </sheetView>
  </sheetViews>
  <sheetFormatPr defaultColWidth="14.42578125" defaultRowHeight="15" customHeight="1" x14ac:dyDescent="0.25"/>
  <cols>
    <col min="1" max="1" width="8.7109375" customWidth="1"/>
    <col min="2" max="2" width="23.140625" customWidth="1"/>
    <col min="3" max="3" width="20.5703125" customWidth="1"/>
    <col min="4" max="5" width="15.5703125" customWidth="1"/>
    <col min="6" max="6" width="14" customWidth="1"/>
    <col min="7" max="7" width="15.42578125" customWidth="1"/>
    <col min="8" max="8" width="14" customWidth="1"/>
    <col min="9" max="9" width="19.28515625" customWidth="1"/>
    <col min="10" max="10" width="14" customWidth="1"/>
    <col min="11" max="11" width="18.85546875" customWidth="1"/>
    <col min="12" max="13" width="14" customWidth="1"/>
    <col min="15" max="15" width="18.5703125" customWidth="1"/>
    <col min="16" max="16" width="22.5703125" customWidth="1"/>
    <col min="17" max="17" width="21.7109375" customWidth="1"/>
    <col min="18" max="18" width="18.28515625" customWidth="1"/>
    <col min="19" max="19" width="13.28515625" customWidth="1"/>
    <col min="21" max="21" width="14" customWidth="1"/>
    <col min="22" max="23" width="14.5703125" customWidth="1"/>
    <col min="24" max="29" width="8.7109375" customWidth="1"/>
  </cols>
  <sheetData>
    <row r="1" spans="1:23" x14ac:dyDescent="0.25">
      <c r="A1" s="3" t="s">
        <v>0</v>
      </c>
      <c r="B1" s="3" t="s">
        <v>1</v>
      </c>
      <c r="C1" s="3" t="s">
        <v>42</v>
      </c>
      <c r="D1" s="3" t="s">
        <v>2</v>
      </c>
      <c r="E1" s="3" t="s">
        <v>65</v>
      </c>
      <c r="F1" s="3" t="s">
        <v>27</v>
      </c>
      <c r="G1" s="3" t="s">
        <v>64</v>
      </c>
      <c r="H1" s="3" t="s">
        <v>4</v>
      </c>
      <c r="I1" s="3" t="s">
        <v>5</v>
      </c>
      <c r="J1" s="33" t="s">
        <v>31</v>
      </c>
      <c r="K1" s="33" t="s">
        <v>30</v>
      </c>
      <c r="L1" s="33" t="s">
        <v>29</v>
      </c>
      <c r="M1" s="3" t="s">
        <v>6</v>
      </c>
      <c r="N1" s="3" t="s">
        <v>70</v>
      </c>
      <c r="O1" s="42" t="s">
        <v>13</v>
      </c>
      <c r="P1" s="3" t="s">
        <v>9</v>
      </c>
      <c r="Q1" s="3" t="s">
        <v>10</v>
      </c>
      <c r="R1" s="33" t="s">
        <v>98</v>
      </c>
      <c r="S1" s="3" t="s">
        <v>11</v>
      </c>
      <c r="T1" s="3" t="s">
        <v>12</v>
      </c>
      <c r="U1" s="33" t="s">
        <v>8</v>
      </c>
      <c r="V1" s="8" t="s">
        <v>7</v>
      </c>
      <c r="W1" s="33" t="s">
        <v>69</v>
      </c>
    </row>
    <row r="2" spans="1:23" x14ac:dyDescent="0.25">
      <c r="A2" t="s">
        <v>43</v>
      </c>
      <c r="B2" t="s">
        <v>62</v>
      </c>
      <c r="C2" t="s">
        <v>44</v>
      </c>
      <c r="D2" t="s">
        <v>15</v>
      </c>
      <c r="E2" t="str">
        <f>IF(D2="Interests","Millennials","Boomers")</f>
        <v>Millennials</v>
      </c>
      <c r="F2" t="s">
        <v>16</v>
      </c>
      <c r="G2">
        <v>30</v>
      </c>
      <c r="H2" t="s">
        <v>17</v>
      </c>
      <c r="I2" t="s">
        <v>18</v>
      </c>
      <c r="J2" s="1">
        <v>197.51</v>
      </c>
      <c r="K2" s="2">
        <v>108534</v>
      </c>
      <c r="L2" s="2">
        <v>95027</v>
      </c>
      <c r="M2" s="2">
        <v>363</v>
      </c>
      <c r="N2" t="s">
        <v>74</v>
      </c>
      <c r="O2" s="4">
        <f>M2/L2</f>
        <v>3.8199669567596578E-3</v>
      </c>
      <c r="P2" s="2">
        <v>5438</v>
      </c>
      <c r="Q2" s="2">
        <v>254</v>
      </c>
      <c r="R2" s="4">
        <v>1.1420999999999999</v>
      </c>
      <c r="S2" s="5">
        <v>5.0104114839589403E-2</v>
      </c>
      <c r="T2" s="7">
        <f t="shared" ref="T2:T33" si="0">Q2/K2</f>
        <v>2.3402804651077081E-3</v>
      </c>
      <c r="U2" s="1">
        <v>1.82</v>
      </c>
      <c r="V2" s="7">
        <v>3.344574050527945E-3</v>
      </c>
      <c r="W2" t="str">
        <f>IF(V2&lt;1.5%, "Bad", "Good")</f>
        <v>Bad</v>
      </c>
    </row>
    <row r="3" spans="1:23" x14ac:dyDescent="0.25">
      <c r="A3" t="s">
        <v>43</v>
      </c>
      <c r="B3" t="s">
        <v>62</v>
      </c>
      <c r="C3" t="s">
        <v>44</v>
      </c>
      <c r="D3" t="s">
        <v>15</v>
      </c>
      <c r="E3" t="str">
        <f t="shared" ref="E3:E54" si="1">IF(D3="Interests","Millennials","Boomers")</f>
        <v>Millennials</v>
      </c>
      <c r="F3" t="s">
        <v>20</v>
      </c>
      <c r="G3">
        <v>30</v>
      </c>
      <c r="H3" t="s">
        <v>17</v>
      </c>
      <c r="I3" t="s">
        <v>18</v>
      </c>
      <c r="J3" s="1">
        <v>206.13</v>
      </c>
      <c r="K3" s="2">
        <v>106530</v>
      </c>
      <c r="L3" s="2">
        <v>94142</v>
      </c>
      <c r="M3" s="2">
        <v>385</v>
      </c>
      <c r="N3" t="s">
        <v>74</v>
      </c>
      <c r="O3" s="4">
        <f t="shared" ref="O3:O54" si="2">M3/L3</f>
        <v>4.089566824584139E-3</v>
      </c>
      <c r="P3" s="2">
        <v>4955</v>
      </c>
      <c r="Q3" s="2">
        <v>253</v>
      </c>
      <c r="R3" s="4">
        <v>1.1315999999999999</v>
      </c>
      <c r="S3" s="5">
        <v>4.6512719421759129E-2</v>
      </c>
      <c r="T3" s="7">
        <f t="shared" si="0"/>
        <v>2.3749178635126254E-3</v>
      </c>
      <c r="U3" s="1">
        <v>1.93</v>
      </c>
      <c r="V3" s="7">
        <v>3.6140054444757344E-3</v>
      </c>
      <c r="W3" t="str">
        <f t="shared" ref="W3:W54" si="3">IF(V3&lt;1.5%, "Bad", "Good")</f>
        <v>Bad</v>
      </c>
    </row>
    <row r="4" spans="1:23" x14ac:dyDescent="0.25">
      <c r="A4" t="s">
        <v>43</v>
      </c>
      <c r="B4" t="s">
        <v>62</v>
      </c>
      <c r="C4" t="s">
        <v>45</v>
      </c>
      <c r="D4" t="s">
        <v>15</v>
      </c>
      <c r="E4" t="str">
        <f t="shared" si="1"/>
        <v>Millennials</v>
      </c>
      <c r="F4" t="s">
        <v>20</v>
      </c>
      <c r="G4">
        <v>45</v>
      </c>
      <c r="H4" t="s">
        <v>17</v>
      </c>
      <c r="I4" t="s">
        <v>18</v>
      </c>
      <c r="J4" s="1">
        <v>67.92</v>
      </c>
      <c r="K4" s="2">
        <v>29807</v>
      </c>
      <c r="L4" s="2">
        <v>13776</v>
      </c>
      <c r="M4" s="2">
        <v>84</v>
      </c>
      <c r="N4" t="s">
        <v>74</v>
      </c>
      <c r="O4" s="4">
        <f t="shared" si="2"/>
        <v>6.0975609756097563E-3</v>
      </c>
      <c r="P4" s="2">
        <v>7794</v>
      </c>
      <c r="Q4" s="2">
        <v>334</v>
      </c>
      <c r="R4" s="4">
        <v>2.1637</v>
      </c>
      <c r="S4" s="5">
        <v>0.26148220216727613</v>
      </c>
      <c r="T4" s="7">
        <f t="shared" si="0"/>
        <v>1.12054215452746E-2</v>
      </c>
      <c r="U4" s="1">
        <v>2.2799999999999998</v>
      </c>
      <c r="V4" s="7">
        <v>2.8181299694702588E-3</v>
      </c>
      <c r="W4" t="str">
        <f t="shared" si="3"/>
        <v>Bad</v>
      </c>
    </row>
    <row r="5" spans="1:23" x14ac:dyDescent="0.25">
      <c r="A5" t="s">
        <v>43</v>
      </c>
      <c r="B5" t="s">
        <v>62</v>
      </c>
      <c r="C5" t="s">
        <v>45</v>
      </c>
      <c r="D5" t="s">
        <v>15</v>
      </c>
      <c r="E5" t="str">
        <f t="shared" si="1"/>
        <v>Millennials</v>
      </c>
      <c r="F5" t="s">
        <v>20</v>
      </c>
      <c r="G5">
        <v>30</v>
      </c>
      <c r="H5" t="s">
        <v>17</v>
      </c>
      <c r="I5" t="s">
        <v>18</v>
      </c>
      <c r="J5" s="1">
        <v>51.99</v>
      </c>
      <c r="K5" s="2">
        <v>22399</v>
      </c>
      <c r="L5" s="2">
        <v>12187</v>
      </c>
      <c r="M5" s="2">
        <v>64</v>
      </c>
      <c r="N5" t="s">
        <v>74</v>
      </c>
      <c r="O5" s="4">
        <f t="shared" si="2"/>
        <v>5.251497497333224E-3</v>
      </c>
      <c r="P5" s="2">
        <v>5802</v>
      </c>
      <c r="Q5" s="2">
        <v>357</v>
      </c>
      <c r="R5" s="4">
        <v>1.8379000000000001</v>
      </c>
      <c r="S5" s="5">
        <v>0.25902942095629267</v>
      </c>
      <c r="T5" s="7">
        <f t="shared" si="0"/>
        <v>1.5938211527300326E-2</v>
      </c>
      <c r="U5" s="1">
        <v>2.3199999999999998</v>
      </c>
      <c r="V5" s="7">
        <v>2.8572704138577613E-3</v>
      </c>
      <c r="W5" t="str">
        <f t="shared" si="3"/>
        <v>Bad</v>
      </c>
    </row>
    <row r="6" spans="1:23" x14ac:dyDescent="0.25">
      <c r="A6" t="s">
        <v>43</v>
      </c>
      <c r="B6" t="s">
        <v>62</v>
      </c>
      <c r="C6" t="s">
        <v>45</v>
      </c>
      <c r="D6" t="s">
        <v>15</v>
      </c>
      <c r="E6" t="str">
        <f t="shared" si="1"/>
        <v>Millennials</v>
      </c>
      <c r="F6" t="s">
        <v>16</v>
      </c>
      <c r="G6">
        <v>45</v>
      </c>
      <c r="H6" t="s">
        <v>17</v>
      </c>
      <c r="I6" t="s">
        <v>18</v>
      </c>
      <c r="J6" s="1">
        <v>140.97999999999999</v>
      </c>
      <c r="K6" s="2">
        <v>64602</v>
      </c>
      <c r="L6" s="2">
        <v>24831</v>
      </c>
      <c r="M6" s="2">
        <v>174</v>
      </c>
      <c r="N6" t="s">
        <v>74</v>
      </c>
      <c r="O6" s="4">
        <f t="shared" si="2"/>
        <v>7.007369819983086E-3</v>
      </c>
      <c r="P6" s="2">
        <v>15882</v>
      </c>
      <c r="Q6" s="2">
        <v>666</v>
      </c>
      <c r="R6" s="4">
        <v>2.6017000000000001</v>
      </c>
      <c r="S6" s="5">
        <v>0.24584378192625617</v>
      </c>
      <c r="T6" s="7">
        <f t="shared" si="0"/>
        <v>1.0309278350515464E-2</v>
      </c>
      <c r="U6" s="1">
        <v>2.1800000000000002</v>
      </c>
      <c r="V6" s="7">
        <v>2.693415064549085E-3</v>
      </c>
      <c r="W6" t="str">
        <f t="shared" si="3"/>
        <v>Bad</v>
      </c>
    </row>
    <row r="7" spans="1:23" x14ac:dyDescent="0.25">
      <c r="A7" t="s">
        <v>43</v>
      </c>
      <c r="B7" t="s">
        <v>62</v>
      </c>
      <c r="C7" t="s">
        <v>44</v>
      </c>
      <c r="D7" t="s">
        <v>15</v>
      </c>
      <c r="E7" t="str">
        <f t="shared" si="1"/>
        <v>Millennials</v>
      </c>
      <c r="F7" t="s">
        <v>16</v>
      </c>
      <c r="G7">
        <v>45</v>
      </c>
      <c r="H7" t="s">
        <v>17</v>
      </c>
      <c r="I7" t="s">
        <v>18</v>
      </c>
      <c r="J7" s="1">
        <v>229.49</v>
      </c>
      <c r="K7" s="2">
        <v>124438</v>
      </c>
      <c r="L7" s="2">
        <v>106581</v>
      </c>
      <c r="M7" s="2">
        <v>454</v>
      </c>
      <c r="N7" t="s">
        <v>74</v>
      </c>
      <c r="O7" s="4">
        <f t="shared" si="2"/>
        <v>4.2596710483106745E-3</v>
      </c>
      <c r="P7" s="2">
        <v>6075</v>
      </c>
      <c r="Q7" s="2">
        <v>182</v>
      </c>
      <c r="R7" s="4">
        <v>1.1675</v>
      </c>
      <c r="S7" s="5">
        <v>4.8819492438001252E-2</v>
      </c>
      <c r="T7" s="7">
        <f t="shared" si="0"/>
        <v>1.4625757405294204E-3</v>
      </c>
      <c r="U7" s="1">
        <v>1.84</v>
      </c>
      <c r="V7" s="7">
        <v>3.6484032208810814E-3</v>
      </c>
      <c r="W7" t="str">
        <f t="shared" si="3"/>
        <v>Bad</v>
      </c>
    </row>
    <row r="8" spans="1:23" x14ac:dyDescent="0.25">
      <c r="A8" t="s">
        <v>43</v>
      </c>
      <c r="B8" t="s">
        <v>62</v>
      </c>
      <c r="C8" t="s">
        <v>44</v>
      </c>
      <c r="D8" t="s">
        <v>15</v>
      </c>
      <c r="E8" t="str">
        <f t="shared" si="1"/>
        <v>Millennials</v>
      </c>
      <c r="F8" t="s">
        <v>20</v>
      </c>
      <c r="G8">
        <v>45</v>
      </c>
      <c r="H8" t="s">
        <v>17</v>
      </c>
      <c r="I8" t="s">
        <v>18</v>
      </c>
      <c r="J8" s="1">
        <v>216.23</v>
      </c>
      <c r="K8" s="2">
        <v>123775</v>
      </c>
      <c r="L8" s="2">
        <v>105669</v>
      </c>
      <c r="M8" s="2">
        <v>420</v>
      </c>
      <c r="N8" t="s">
        <v>74</v>
      </c>
      <c r="O8" s="4">
        <f t="shared" si="2"/>
        <v>3.9746756380773926E-3</v>
      </c>
      <c r="P8" s="2">
        <v>5259</v>
      </c>
      <c r="Q8" s="2">
        <v>142</v>
      </c>
      <c r="R8" s="4">
        <v>1.1713</v>
      </c>
      <c r="S8" s="5">
        <v>4.2488386184609171E-2</v>
      </c>
      <c r="T8" s="7">
        <f t="shared" si="0"/>
        <v>1.147242981215916E-3</v>
      </c>
      <c r="U8" s="1">
        <v>1.75</v>
      </c>
      <c r="V8" s="7">
        <v>3.3932538881034134E-3</v>
      </c>
      <c r="W8" t="str">
        <f t="shared" si="3"/>
        <v>Bad</v>
      </c>
    </row>
    <row r="9" spans="1:23" x14ac:dyDescent="0.25">
      <c r="A9" t="s">
        <v>43</v>
      </c>
      <c r="B9" t="s">
        <v>62</v>
      </c>
      <c r="C9" t="s">
        <v>45</v>
      </c>
      <c r="D9" t="s">
        <v>15</v>
      </c>
      <c r="E9" t="str">
        <f t="shared" si="1"/>
        <v>Millennials</v>
      </c>
      <c r="F9" t="s">
        <v>16</v>
      </c>
      <c r="G9">
        <v>30</v>
      </c>
      <c r="H9" t="s">
        <v>17</v>
      </c>
      <c r="I9" t="s">
        <v>18</v>
      </c>
      <c r="J9" s="1">
        <v>352.46</v>
      </c>
      <c r="K9" s="2">
        <v>172400</v>
      </c>
      <c r="L9" s="2">
        <v>49783</v>
      </c>
      <c r="M9" s="2">
        <v>384</v>
      </c>
      <c r="N9" t="s">
        <v>74</v>
      </c>
      <c r="O9" s="4">
        <f t="shared" si="2"/>
        <v>7.7134764879577362E-3</v>
      </c>
      <c r="P9" s="2">
        <v>39317</v>
      </c>
      <c r="Q9" s="2">
        <v>2648</v>
      </c>
      <c r="R9" s="4">
        <v>3.4630000000000001</v>
      </c>
      <c r="S9" s="5">
        <v>0.22805684454756381</v>
      </c>
      <c r="T9" s="7">
        <f t="shared" si="0"/>
        <v>1.5359628770301625E-2</v>
      </c>
      <c r="U9" s="1">
        <v>2.04</v>
      </c>
      <c r="V9" s="7">
        <v>2.2273781902552203E-3</v>
      </c>
      <c r="W9" t="str">
        <f t="shared" si="3"/>
        <v>Bad</v>
      </c>
    </row>
    <row r="10" spans="1:23" x14ac:dyDescent="0.25">
      <c r="A10" t="s">
        <v>23</v>
      </c>
      <c r="B10" t="s">
        <v>57</v>
      </c>
      <c r="C10" t="s">
        <v>45</v>
      </c>
      <c r="D10" t="s">
        <v>38</v>
      </c>
      <c r="E10" t="str">
        <f t="shared" si="1"/>
        <v>Boomers</v>
      </c>
      <c r="F10" t="s">
        <v>16</v>
      </c>
      <c r="G10">
        <v>45</v>
      </c>
      <c r="H10" t="s">
        <v>17</v>
      </c>
      <c r="I10" t="s">
        <v>18</v>
      </c>
      <c r="J10" s="1">
        <v>422.52</v>
      </c>
      <c r="K10" s="2">
        <v>202095</v>
      </c>
      <c r="L10" s="2">
        <v>96300</v>
      </c>
      <c r="M10" s="2">
        <v>1160</v>
      </c>
      <c r="N10" t="s">
        <v>72</v>
      </c>
      <c r="O10" s="4">
        <f t="shared" si="2"/>
        <v>1.2045690550363447E-2</v>
      </c>
      <c r="P10" s="2">
        <v>76291</v>
      </c>
      <c r="Q10" s="2">
        <v>1184</v>
      </c>
      <c r="R10" s="4">
        <v>2.0985999999999998</v>
      </c>
      <c r="S10" s="5">
        <v>0.37750068037309187</v>
      </c>
      <c r="T10" s="7">
        <f t="shared" si="0"/>
        <v>5.8586308419307752E-3</v>
      </c>
      <c r="U10" s="1">
        <v>2.09</v>
      </c>
      <c r="V10" s="7">
        <v>5.7398748113510973E-3</v>
      </c>
      <c r="W10" t="str">
        <f t="shared" si="3"/>
        <v>Bad</v>
      </c>
    </row>
    <row r="11" spans="1:23" x14ac:dyDescent="0.25">
      <c r="A11" t="s">
        <v>23</v>
      </c>
      <c r="B11" t="s">
        <v>57</v>
      </c>
      <c r="C11" t="s">
        <v>45</v>
      </c>
      <c r="D11" t="s">
        <v>38</v>
      </c>
      <c r="E11" t="str">
        <f t="shared" si="1"/>
        <v>Boomers</v>
      </c>
      <c r="F11" t="s">
        <v>16</v>
      </c>
      <c r="G11">
        <v>30</v>
      </c>
      <c r="H11" t="s">
        <v>17</v>
      </c>
      <c r="I11" t="s">
        <v>18</v>
      </c>
      <c r="J11" s="1">
        <v>110.89</v>
      </c>
      <c r="K11" s="2">
        <v>52865</v>
      </c>
      <c r="L11" s="2">
        <v>30158</v>
      </c>
      <c r="M11" s="2">
        <v>332</v>
      </c>
      <c r="N11" t="s">
        <v>74</v>
      </c>
      <c r="O11" s="4">
        <f t="shared" si="2"/>
        <v>1.1008687578751907E-2</v>
      </c>
      <c r="P11" s="2">
        <v>19730</v>
      </c>
      <c r="Q11" s="2">
        <v>509</v>
      </c>
      <c r="R11" s="4">
        <v>1.7528999999999999</v>
      </c>
      <c r="S11" s="5">
        <v>0.37321479239572497</v>
      </c>
      <c r="T11" s="7">
        <f t="shared" si="0"/>
        <v>9.6282984961694879E-3</v>
      </c>
      <c r="U11" s="1">
        <v>2.1</v>
      </c>
      <c r="V11" s="7">
        <v>6.2801475456351081E-3</v>
      </c>
      <c r="W11" t="str">
        <f t="shared" si="3"/>
        <v>Bad</v>
      </c>
    </row>
    <row r="12" spans="1:23" x14ac:dyDescent="0.25">
      <c r="A12" t="s">
        <v>23</v>
      </c>
      <c r="B12" t="s">
        <v>57</v>
      </c>
      <c r="C12" t="s">
        <v>45</v>
      </c>
      <c r="D12" t="s">
        <v>38</v>
      </c>
      <c r="E12" t="str">
        <f t="shared" si="1"/>
        <v>Boomers</v>
      </c>
      <c r="F12" t="s">
        <v>20</v>
      </c>
      <c r="G12">
        <v>30</v>
      </c>
      <c r="H12" t="s">
        <v>17</v>
      </c>
      <c r="I12" t="s">
        <v>18</v>
      </c>
      <c r="J12" s="1">
        <v>74.56</v>
      </c>
      <c r="K12" s="2">
        <v>33156</v>
      </c>
      <c r="L12" s="2">
        <v>18293</v>
      </c>
      <c r="M12" s="2">
        <v>160</v>
      </c>
      <c r="N12" t="s">
        <v>74</v>
      </c>
      <c r="O12" s="4">
        <f t="shared" si="2"/>
        <v>8.7465150604056196E-3</v>
      </c>
      <c r="P12" s="2">
        <v>11929</v>
      </c>
      <c r="Q12" s="2">
        <v>357</v>
      </c>
      <c r="R12" s="4">
        <v>1.8125</v>
      </c>
      <c r="S12" s="5">
        <v>0.3597840511521293</v>
      </c>
      <c r="T12" s="7">
        <f t="shared" si="0"/>
        <v>1.0767281939920376E-2</v>
      </c>
      <c r="U12" s="1">
        <v>2.25</v>
      </c>
      <c r="V12" s="7">
        <v>4.825672578115575E-3</v>
      </c>
      <c r="W12" t="str">
        <f t="shared" si="3"/>
        <v>Bad</v>
      </c>
    </row>
    <row r="13" spans="1:23" x14ac:dyDescent="0.25">
      <c r="A13" t="s">
        <v>23</v>
      </c>
      <c r="B13" t="s">
        <v>57</v>
      </c>
      <c r="C13" t="s">
        <v>44</v>
      </c>
      <c r="D13" t="s">
        <v>38</v>
      </c>
      <c r="E13" t="str">
        <f t="shared" si="1"/>
        <v>Boomers</v>
      </c>
      <c r="F13" t="s">
        <v>16</v>
      </c>
      <c r="G13">
        <v>30</v>
      </c>
      <c r="H13" t="s">
        <v>17</v>
      </c>
      <c r="I13" t="s">
        <v>18</v>
      </c>
      <c r="J13" s="1">
        <v>133.5</v>
      </c>
      <c r="K13" s="2">
        <v>119099</v>
      </c>
      <c r="L13" s="2">
        <v>108611</v>
      </c>
      <c r="M13" s="2">
        <v>460</v>
      </c>
      <c r="N13" t="s">
        <v>74</v>
      </c>
      <c r="O13" s="4">
        <f t="shared" si="2"/>
        <v>4.235298450433197E-3</v>
      </c>
      <c r="P13" s="2">
        <v>6068</v>
      </c>
      <c r="Q13" s="2">
        <v>201</v>
      </c>
      <c r="R13" s="4">
        <v>1.0966</v>
      </c>
      <c r="S13" s="5">
        <v>5.0949210320825535E-2</v>
      </c>
      <c r="T13" s="7">
        <f t="shared" si="0"/>
        <v>1.6876716009370356E-3</v>
      </c>
      <c r="U13" s="1">
        <v>1.1200000000000001</v>
      </c>
      <c r="V13" s="7">
        <v>3.8623330170698329E-3</v>
      </c>
      <c r="W13" t="str">
        <f t="shared" si="3"/>
        <v>Bad</v>
      </c>
    </row>
    <row r="14" spans="1:23" x14ac:dyDescent="0.25">
      <c r="A14" t="s">
        <v>23</v>
      </c>
      <c r="B14" t="s">
        <v>57</v>
      </c>
      <c r="C14" t="s">
        <v>44</v>
      </c>
      <c r="D14" t="s">
        <v>38</v>
      </c>
      <c r="E14" t="str">
        <f t="shared" si="1"/>
        <v>Boomers</v>
      </c>
      <c r="F14" t="s">
        <v>20</v>
      </c>
      <c r="G14">
        <v>45</v>
      </c>
      <c r="H14" t="s">
        <v>17</v>
      </c>
      <c r="I14" t="s">
        <v>18</v>
      </c>
      <c r="J14" s="1">
        <v>149.68</v>
      </c>
      <c r="K14" s="2">
        <v>133533</v>
      </c>
      <c r="L14" s="2">
        <v>119886</v>
      </c>
      <c r="M14" s="2">
        <v>532</v>
      </c>
      <c r="N14" t="s">
        <v>74</v>
      </c>
      <c r="O14" s="4">
        <f t="shared" si="2"/>
        <v>4.437549004887977E-3</v>
      </c>
      <c r="P14" s="2">
        <v>5792</v>
      </c>
      <c r="Q14" s="2">
        <v>114</v>
      </c>
      <c r="R14" s="4">
        <v>1.1137999999999999</v>
      </c>
      <c r="S14" s="5">
        <v>4.3375045868811454E-2</v>
      </c>
      <c r="T14" s="7">
        <f t="shared" si="0"/>
        <v>8.5372155197591603E-4</v>
      </c>
      <c r="U14" s="1">
        <v>1.1200000000000001</v>
      </c>
      <c r="V14" s="7">
        <v>3.9840339092209413E-3</v>
      </c>
      <c r="W14" t="str">
        <f t="shared" si="3"/>
        <v>Bad</v>
      </c>
    </row>
    <row r="15" spans="1:23" x14ac:dyDescent="0.25">
      <c r="A15" t="s">
        <v>23</v>
      </c>
      <c r="B15" t="s">
        <v>57</v>
      </c>
      <c r="C15" t="s">
        <v>45</v>
      </c>
      <c r="D15" t="s">
        <v>15</v>
      </c>
      <c r="E15" t="str">
        <f t="shared" si="1"/>
        <v>Millennials</v>
      </c>
      <c r="F15" t="s">
        <v>20</v>
      </c>
      <c r="G15">
        <v>30</v>
      </c>
      <c r="H15" t="s">
        <v>17</v>
      </c>
      <c r="I15" t="s">
        <v>18</v>
      </c>
      <c r="J15" s="1">
        <v>167.73</v>
      </c>
      <c r="K15" s="2">
        <v>82659</v>
      </c>
      <c r="L15" s="2">
        <v>60513</v>
      </c>
      <c r="M15" s="2">
        <v>491</v>
      </c>
      <c r="N15" t="s">
        <v>74</v>
      </c>
      <c r="O15" s="4">
        <f t="shared" si="2"/>
        <v>8.113958984019962E-3</v>
      </c>
      <c r="P15" s="2">
        <v>20179</v>
      </c>
      <c r="Q15" s="2">
        <v>469</v>
      </c>
      <c r="R15" s="4">
        <v>1.3660000000000001</v>
      </c>
      <c r="S15" s="5">
        <v>0.24412344693257843</v>
      </c>
      <c r="T15" s="7">
        <f t="shared" si="0"/>
        <v>5.6739133064760035E-3</v>
      </c>
      <c r="U15" s="1">
        <v>2.0299999999999998</v>
      </c>
      <c r="V15" s="7">
        <v>5.9400670223448146E-3</v>
      </c>
      <c r="W15" t="str">
        <f t="shared" si="3"/>
        <v>Bad</v>
      </c>
    </row>
    <row r="16" spans="1:23" x14ac:dyDescent="0.25">
      <c r="A16" t="s">
        <v>23</v>
      </c>
      <c r="B16" t="s">
        <v>57</v>
      </c>
      <c r="C16" t="s">
        <v>44</v>
      </c>
      <c r="D16" t="s">
        <v>15</v>
      </c>
      <c r="E16" t="str">
        <f t="shared" si="1"/>
        <v>Millennials</v>
      </c>
      <c r="F16" t="s">
        <v>16</v>
      </c>
      <c r="G16">
        <v>45</v>
      </c>
      <c r="H16" t="s">
        <v>17</v>
      </c>
      <c r="I16" t="s">
        <v>18</v>
      </c>
      <c r="J16" s="1">
        <v>772.94</v>
      </c>
      <c r="K16" s="2">
        <v>781394</v>
      </c>
      <c r="L16" s="2">
        <v>717605</v>
      </c>
      <c r="M16" s="2">
        <v>2083</v>
      </c>
      <c r="N16" t="s">
        <v>72</v>
      </c>
      <c r="O16" s="4">
        <f t="shared" si="2"/>
        <v>2.9027111015112769E-3</v>
      </c>
      <c r="P16" s="2">
        <v>28146</v>
      </c>
      <c r="Q16" s="2">
        <v>554</v>
      </c>
      <c r="R16" s="4">
        <v>1.0889</v>
      </c>
      <c r="S16" s="5">
        <v>3.6020240749225101E-2</v>
      </c>
      <c r="T16" s="7">
        <f t="shared" si="0"/>
        <v>7.0898931908870558E-4</v>
      </c>
      <c r="U16" s="1">
        <v>0.99</v>
      </c>
      <c r="V16" s="7">
        <v>2.6657486492089777E-3</v>
      </c>
      <c r="W16" t="str">
        <f t="shared" si="3"/>
        <v>Bad</v>
      </c>
    </row>
    <row r="17" spans="1:23" x14ac:dyDescent="0.25">
      <c r="A17" t="s">
        <v>23</v>
      </c>
      <c r="B17" t="s">
        <v>57</v>
      </c>
      <c r="C17" t="s">
        <v>44</v>
      </c>
      <c r="D17" t="s">
        <v>15</v>
      </c>
      <c r="E17" t="str">
        <f t="shared" si="1"/>
        <v>Millennials</v>
      </c>
      <c r="F17" t="s">
        <v>16</v>
      </c>
      <c r="G17">
        <v>30</v>
      </c>
      <c r="H17" t="s">
        <v>17</v>
      </c>
      <c r="I17" t="s">
        <v>18</v>
      </c>
      <c r="J17" s="1">
        <v>788.49</v>
      </c>
      <c r="K17" s="2">
        <v>795075</v>
      </c>
      <c r="L17" s="2">
        <v>758066</v>
      </c>
      <c r="M17" s="2">
        <v>2269</v>
      </c>
      <c r="N17" t="s">
        <v>72</v>
      </c>
      <c r="O17" s="4">
        <f t="shared" si="2"/>
        <v>2.9931430772518488E-3</v>
      </c>
      <c r="P17" s="2">
        <v>28784</v>
      </c>
      <c r="Q17" s="2">
        <v>1002</v>
      </c>
      <c r="R17" s="4">
        <v>1.0488</v>
      </c>
      <c r="S17" s="5">
        <v>3.620287394270981E-2</v>
      </c>
      <c r="T17" s="7">
        <f t="shared" si="0"/>
        <v>1.2602584661824355E-3</v>
      </c>
      <c r="U17" s="1">
        <v>0.99</v>
      </c>
      <c r="V17" s="7">
        <v>2.8538188221236991E-3</v>
      </c>
      <c r="W17" t="str">
        <f t="shared" si="3"/>
        <v>Bad</v>
      </c>
    </row>
    <row r="18" spans="1:23" x14ac:dyDescent="0.25">
      <c r="A18" t="s">
        <v>23</v>
      </c>
      <c r="B18" t="s">
        <v>57</v>
      </c>
      <c r="C18" t="s">
        <v>45</v>
      </c>
      <c r="D18" t="s">
        <v>15</v>
      </c>
      <c r="E18" t="str">
        <f t="shared" si="1"/>
        <v>Millennials</v>
      </c>
      <c r="F18" t="s">
        <v>16</v>
      </c>
      <c r="G18">
        <v>45</v>
      </c>
      <c r="H18" t="s">
        <v>17</v>
      </c>
      <c r="I18" t="s">
        <v>18</v>
      </c>
      <c r="J18" s="1">
        <v>369.19</v>
      </c>
      <c r="K18" s="2">
        <v>195379</v>
      </c>
      <c r="L18" s="2">
        <v>117891</v>
      </c>
      <c r="M18" s="2">
        <v>846</v>
      </c>
      <c r="N18" t="s">
        <v>74</v>
      </c>
      <c r="O18" s="4">
        <f t="shared" si="2"/>
        <v>7.1761203145278268E-3</v>
      </c>
      <c r="P18" s="2">
        <v>53681</v>
      </c>
      <c r="Q18" s="2">
        <v>953</v>
      </c>
      <c r="R18" s="4">
        <v>1.6573</v>
      </c>
      <c r="S18" s="5">
        <v>0.27475317203998384</v>
      </c>
      <c r="T18" s="7">
        <f t="shared" si="0"/>
        <v>4.8776992409624367E-3</v>
      </c>
      <c r="U18" s="1">
        <v>1.89</v>
      </c>
      <c r="V18" s="7">
        <v>4.3300457060380078E-3</v>
      </c>
      <c r="W18" t="str">
        <f t="shared" si="3"/>
        <v>Bad</v>
      </c>
    </row>
    <row r="19" spans="1:23" x14ac:dyDescent="0.25">
      <c r="A19" t="s">
        <v>23</v>
      </c>
      <c r="B19" t="s">
        <v>57</v>
      </c>
      <c r="C19" t="s">
        <v>44</v>
      </c>
      <c r="D19" t="s">
        <v>38</v>
      </c>
      <c r="E19" t="str">
        <f t="shared" si="1"/>
        <v>Boomers</v>
      </c>
      <c r="F19" t="s">
        <v>20</v>
      </c>
      <c r="G19">
        <v>30</v>
      </c>
      <c r="H19" t="s">
        <v>17</v>
      </c>
      <c r="I19" t="s">
        <v>18</v>
      </c>
      <c r="J19" s="1">
        <v>132.74</v>
      </c>
      <c r="K19" s="2">
        <v>118775</v>
      </c>
      <c r="L19" s="2">
        <v>106901</v>
      </c>
      <c r="M19" s="2">
        <v>437</v>
      </c>
      <c r="N19" t="s">
        <v>74</v>
      </c>
      <c r="O19" s="4">
        <f t="shared" si="2"/>
        <v>4.0878944069746778E-3</v>
      </c>
      <c r="P19" s="2">
        <v>4876</v>
      </c>
      <c r="Q19" s="2">
        <v>152</v>
      </c>
      <c r="R19" s="4">
        <v>1.1111</v>
      </c>
      <c r="S19" s="5">
        <v>4.1052410018943379E-2</v>
      </c>
      <c r="T19" s="7">
        <f t="shared" si="0"/>
        <v>1.2797305830351505E-3</v>
      </c>
      <c r="U19" s="1">
        <v>1.1200000000000001</v>
      </c>
      <c r="V19" s="7">
        <v>3.6792254262260579E-3</v>
      </c>
      <c r="W19" t="str">
        <f t="shared" si="3"/>
        <v>Bad</v>
      </c>
    </row>
    <row r="20" spans="1:23" x14ac:dyDescent="0.25">
      <c r="A20" t="s">
        <v>23</v>
      </c>
      <c r="B20" t="s">
        <v>57</v>
      </c>
      <c r="C20" t="s">
        <v>44</v>
      </c>
      <c r="D20" t="s">
        <v>15</v>
      </c>
      <c r="E20" t="str">
        <f t="shared" si="1"/>
        <v>Millennials</v>
      </c>
      <c r="F20" t="s">
        <v>20</v>
      </c>
      <c r="G20">
        <v>30</v>
      </c>
      <c r="H20" t="s">
        <v>17</v>
      </c>
      <c r="I20" t="s">
        <v>18</v>
      </c>
      <c r="J20" s="1">
        <v>709.33</v>
      </c>
      <c r="K20" s="2">
        <v>721174</v>
      </c>
      <c r="L20" s="2">
        <v>663383</v>
      </c>
      <c r="M20" s="2">
        <v>2005</v>
      </c>
      <c r="N20" t="s">
        <v>72</v>
      </c>
      <c r="O20" s="4">
        <f t="shared" si="2"/>
        <v>3.0223867660160121E-3</v>
      </c>
      <c r="P20" s="2">
        <v>22306</v>
      </c>
      <c r="Q20" s="2">
        <v>791</v>
      </c>
      <c r="R20" s="4">
        <v>1.0871</v>
      </c>
      <c r="S20" s="5">
        <v>3.0930122272849549E-2</v>
      </c>
      <c r="T20" s="7">
        <f t="shared" si="0"/>
        <v>1.0968226807954807E-3</v>
      </c>
      <c r="U20" s="1">
        <v>0.98</v>
      </c>
      <c r="V20" s="7">
        <v>2.7801889696522615E-3</v>
      </c>
      <c r="W20" t="str">
        <f t="shared" si="3"/>
        <v>Bad</v>
      </c>
    </row>
    <row r="21" spans="1:23" ht="15.75" customHeight="1" x14ac:dyDescent="0.25">
      <c r="A21" t="s">
        <v>23</v>
      </c>
      <c r="B21" t="s">
        <v>57</v>
      </c>
      <c r="C21" t="s">
        <v>45</v>
      </c>
      <c r="D21" t="s">
        <v>38</v>
      </c>
      <c r="E21" t="str">
        <f t="shared" si="1"/>
        <v>Boomers</v>
      </c>
      <c r="F21" t="s">
        <v>20</v>
      </c>
      <c r="G21">
        <v>45</v>
      </c>
      <c r="H21" t="s">
        <v>17</v>
      </c>
      <c r="I21" t="s">
        <v>18</v>
      </c>
      <c r="J21" s="1">
        <v>52.9</v>
      </c>
      <c r="K21" s="2">
        <v>21897</v>
      </c>
      <c r="L21" s="2">
        <v>12747</v>
      </c>
      <c r="M21" s="2">
        <v>126</v>
      </c>
      <c r="N21" t="s">
        <v>74</v>
      </c>
      <c r="O21" s="4">
        <f t="shared" si="2"/>
        <v>9.8846787479406912E-3</v>
      </c>
      <c r="P21" s="2">
        <v>9049</v>
      </c>
      <c r="Q21" s="2">
        <v>104</v>
      </c>
      <c r="R21" s="4">
        <v>1.7178</v>
      </c>
      <c r="S21" s="5">
        <v>0.41325295702607662</v>
      </c>
      <c r="T21" s="7">
        <f t="shared" si="0"/>
        <v>4.7495090651687444E-3</v>
      </c>
      <c r="U21" s="1">
        <v>2.42</v>
      </c>
      <c r="V21" s="7">
        <v>5.7542129058775178E-3</v>
      </c>
      <c r="W21" t="str">
        <f t="shared" si="3"/>
        <v>Bad</v>
      </c>
    </row>
    <row r="22" spans="1:23" ht="15.75" customHeight="1" x14ac:dyDescent="0.25">
      <c r="A22" t="s">
        <v>23</v>
      </c>
      <c r="B22" t="s">
        <v>57</v>
      </c>
      <c r="C22" t="s">
        <v>44</v>
      </c>
      <c r="D22" t="s">
        <v>38</v>
      </c>
      <c r="E22" t="str">
        <f t="shared" si="1"/>
        <v>Boomers</v>
      </c>
      <c r="F22" t="s">
        <v>16</v>
      </c>
      <c r="G22">
        <v>45</v>
      </c>
      <c r="H22" t="s">
        <v>17</v>
      </c>
      <c r="I22" t="s">
        <v>18</v>
      </c>
      <c r="J22" s="1">
        <v>133.44</v>
      </c>
      <c r="K22" s="2">
        <v>119321</v>
      </c>
      <c r="L22" s="2">
        <v>104998</v>
      </c>
      <c r="M22" s="2">
        <v>453</v>
      </c>
      <c r="N22" t="s">
        <v>74</v>
      </c>
      <c r="O22" s="4">
        <f t="shared" si="2"/>
        <v>4.3143678927217658E-3</v>
      </c>
      <c r="P22" s="2">
        <v>5920</v>
      </c>
      <c r="Q22" s="2">
        <v>123</v>
      </c>
      <c r="R22" s="4">
        <v>1.1364000000000001</v>
      </c>
      <c r="S22" s="5">
        <v>4.961406625824457E-2</v>
      </c>
      <c r="T22" s="7">
        <f t="shared" si="0"/>
        <v>1.0308327955682571E-3</v>
      </c>
      <c r="U22" s="1">
        <v>1.1200000000000001</v>
      </c>
      <c r="V22" s="7">
        <v>3.796481759287971E-3</v>
      </c>
      <c r="W22" t="str">
        <f t="shared" si="3"/>
        <v>Bad</v>
      </c>
    </row>
    <row r="23" spans="1:23" ht="15.75" customHeight="1" x14ac:dyDescent="0.25">
      <c r="A23" t="s">
        <v>23</v>
      </c>
      <c r="B23" t="s">
        <v>57</v>
      </c>
      <c r="C23" t="s">
        <v>45</v>
      </c>
      <c r="D23" t="s">
        <v>15</v>
      </c>
      <c r="E23" t="str">
        <f t="shared" si="1"/>
        <v>Millennials</v>
      </c>
      <c r="F23" t="s">
        <v>16</v>
      </c>
      <c r="G23">
        <v>30</v>
      </c>
      <c r="H23" t="s">
        <v>17</v>
      </c>
      <c r="I23" t="s">
        <v>18</v>
      </c>
      <c r="J23" s="1">
        <v>1365.04</v>
      </c>
      <c r="K23" s="2">
        <v>797896</v>
      </c>
      <c r="L23" s="2">
        <v>413254</v>
      </c>
      <c r="M23" s="2">
        <v>2829</v>
      </c>
      <c r="N23" t="s">
        <v>72</v>
      </c>
      <c r="O23" s="4">
        <f t="shared" si="2"/>
        <v>6.8456687654565957E-3</v>
      </c>
      <c r="P23" s="2">
        <v>228554</v>
      </c>
      <c r="Q23" s="2">
        <v>7133</v>
      </c>
      <c r="R23" s="4">
        <v>1.9308000000000001</v>
      </c>
      <c r="S23" s="5">
        <v>0.28644585259231781</v>
      </c>
      <c r="T23" s="7">
        <f t="shared" si="0"/>
        <v>8.9397615729368239E-3</v>
      </c>
      <c r="U23" s="1">
        <v>1.71</v>
      </c>
      <c r="V23" s="7">
        <v>3.5455748618867622E-3</v>
      </c>
      <c r="W23" t="str">
        <f t="shared" si="3"/>
        <v>Bad</v>
      </c>
    </row>
    <row r="24" spans="1:23" ht="15.75" customHeight="1" x14ac:dyDescent="0.25">
      <c r="A24" t="s">
        <v>23</v>
      </c>
      <c r="B24" t="s">
        <v>57</v>
      </c>
      <c r="C24" t="s">
        <v>44</v>
      </c>
      <c r="D24" t="s">
        <v>15</v>
      </c>
      <c r="E24" t="str">
        <f t="shared" si="1"/>
        <v>Millennials</v>
      </c>
      <c r="F24" t="s">
        <v>20</v>
      </c>
      <c r="G24">
        <v>45</v>
      </c>
      <c r="H24" t="s">
        <v>17</v>
      </c>
      <c r="I24" t="s">
        <v>18</v>
      </c>
      <c r="J24" s="1">
        <v>788.9</v>
      </c>
      <c r="K24" s="2">
        <v>796622</v>
      </c>
      <c r="L24" s="2">
        <v>731982</v>
      </c>
      <c r="M24" s="2">
        <v>2207</v>
      </c>
      <c r="N24" t="s">
        <v>72</v>
      </c>
      <c r="O24" s="4">
        <f t="shared" si="2"/>
        <v>3.0151014642436562E-3</v>
      </c>
      <c r="P24" s="2">
        <v>25013</v>
      </c>
      <c r="Q24" s="2">
        <v>495</v>
      </c>
      <c r="R24" s="4">
        <v>1.0883</v>
      </c>
      <c r="S24" s="5">
        <v>3.1398831566288657E-2</v>
      </c>
      <c r="T24" s="7">
        <f t="shared" si="0"/>
        <v>6.2137375066217103E-4</v>
      </c>
      <c r="U24" s="1">
        <v>0.99</v>
      </c>
      <c r="V24" s="7">
        <v>2.7704482175988109E-3</v>
      </c>
      <c r="W24" t="str">
        <f t="shared" si="3"/>
        <v>Bad</v>
      </c>
    </row>
    <row r="25" spans="1:23" ht="15.75" customHeight="1" x14ac:dyDescent="0.25">
      <c r="A25" t="s">
        <v>23</v>
      </c>
      <c r="B25" t="s">
        <v>57</v>
      </c>
      <c r="C25" t="s">
        <v>45</v>
      </c>
      <c r="D25" t="s">
        <v>15</v>
      </c>
      <c r="E25" t="str">
        <f t="shared" si="1"/>
        <v>Millennials</v>
      </c>
      <c r="F25" t="s">
        <v>20</v>
      </c>
      <c r="G25">
        <v>45</v>
      </c>
      <c r="H25" t="s">
        <v>17</v>
      </c>
      <c r="I25" t="s">
        <v>18</v>
      </c>
      <c r="J25" s="1">
        <v>181.9</v>
      </c>
      <c r="K25" s="2">
        <v>106946</v>
      </c>
      <c r="L25" s="2">
        <v>59957</v>
      </c>
      <c r="M25" s="2">
        <v>436</v>
      </c>
      <c r="N25" t="s">
        <v>74</v>
      </c>
      <c r="O25" s="4">
        <f t="shared" si="2"/>
        <v>7.2718781793618759E-3</v>
      </c>
      <c r="P25" s="2">
        <v>30826</v>
      </c>
      <c r="Q25" s="2">
        <v>592</v>
      </c>
      <c r="R25" s="4">
        <v>1.7837000000000001</v>
      </c>
      <c r="S25" s="5">
        <v>0.28823892431694498</v>
      </c>
      <c r="T25" s="7">
        <f t="shared" si="0"/>
        <v>5.5355038991640642E-3</v>
      </c>
      <c r="U25" s="1">
        <v>1.7</v>
      </c>
      <c r="V25" s="7">
        <v>4.0768238176275874E-3</v>
      </c>
      <c r="W25" t="str">
        <f t="shared" si="3"/>
        <v>Bad</v>
      </c>
    </row>
    <row r="26" spans="1:23" ht="15.75" customHeight="1" x14ac:dyDescent="0.25">
      <c r="A26" t="s">
        <v>35</v>
      </c>
      <c r="B26" t="s">
        <v>56</v>
      </c>
      <c r="C26" t="s">
        <v>44</v>
      </c>
      <c r="D26" t="s">
        <v>15</v>
      </c>
      <c r="E26" t="str">
        <f t="shared" si="1"/>
        <v>Millennials</v>
      </c>
      <c r="F26" t="s">
        <v>16</v>
      </c>
      <c r="G26">
        <v>45</v>
      </c>
      <c r="H26" t="s">
        <v>17</v>
      </c>
      <c r="I26" t="s">
        <v>18</v>
      </c>
      <c r="J26" s="1">
        <v>574.09</v>
      </c>
      <c r="K26" s="2">
        <v>379163</v>
      </c>
      <c r="L26" s="2">
        <v>340284</v>
      </c>
      <c r="M26" s="2">
        <v>1692</v>
      </c>
      <c r="N26" t="s">
        <v>72</v>
      </c>
      <c r="O26" s="4">
        <f t="shared" si="2"/>
        <v>4.9723172408929015E-3</v>
      </c>
      <c r="P26" s="2">
        <v>17485</v>
      </c>
      <c r="Q26" s="2">
        <v>391</v>
      </c>
      <c r="R26" s="4">
        <v>1.1143000000000001</v>
      </c>
      <c r="S26" s="5">
        <v>4.6114731658943517E-2</v>
      </c>
      <c r="T26" s="7">
        <f t="shared" si="0"/>
        <v>1.0312187634341958E-3</v>
      </c>
      <c r="U26" s="1">
        <v>1.51</v>
      </c>
      <c r="V26" s="7">
        <v>4.4624607358840392E-3</v>
      </c>
      <c r="W26" t="str">
        <f t="shared" si="3"/>
        <v>Bad</v>
      </c>
    </row>
    <row r="27" spans="1:23" ht="15.75" customHeight="1" x14ac:dyDescent="0.25">
      <c r="A27" t="s">
        <v>35</v>
      </c>
      <c r="B27" t="s">
        <v>56</v>
      </c>
      <c r="C27" t="s">
        <v>45</v>
      </c>
      <c r="D27" t="s">
        <v>15</v>
      </c>
      <c r="E27" t="str">
        <f t="shared" si="1"/>
        <v>Millennials</v>
      </c>
      <c r="F27" t="s">
        <v>16</v>
      </c>
      <c r="G27">
        <v>45</v>
      </c>
      <c r="H27" t="s">
        <v>17</v>
      </c>
      <c r="I27" t="s">
        <v>18</v>
      </c>
      <c r="J27" s="1">
        <v>780.32</v>
      </c>
      <c r="K27" s="2">
        <v>406210</v>
      </c>
      <c r="L27" s="2">
        <v>139795</v>
      </c>
      <c r="M27" s="2">
        <v>1462</v>
      </c>
      <c r="N27" t="s">
        <v>72</v>
      </c>
      <c r="O27" s="4">
        <f t="shared" si="2"/>
        <v>1.0458170893093458E-2</v>
      </c>
      <c r="P27" s="2">
        <v>89822</v>
      </c>
      <c r="Q27" s="2">
        <v>3592</v>
      </c>
      <c r="R27" s="4">
        <v>2.9058000000000002</v>
      </c>
      <c r="S27" s="5">
        <v>0.221122079712464</v>
      </c>
      <c r="T27" s="7">
        <f t="shared" si="0"/>
        <v>8.8427168213485643E-3</v>
      </c>
      <c r="U27" s="1">
        <v>1.92</v>
      </c>
      <c r="V27" s="7">
        <v>3.5991236060165925E-3</v>
      </c>
      <c r="W27" t="str">
        <f t="shared" si="3"/>
        <v>Bad</v>
      </c>
    </row>
    <row r="28" spans="1:23" ht="15.75" customHeight="1" x14ac:dyDescent="0.25">
      <c r="A28" t="s">
        <v>35</v>
      </c>
      <c r="B28" t="s">
        <v>56</v>
      </c>
      <c r="C28" t="s">
        <v>44</v>
      </c>
      <c r="D28" t="s">
        <v>15</v>
      </c>
      <c r="E28" t="str">
        <f t="shared" si="1"/>
        <v>Millennials</v>
      </c>
      <c r="F28" t="s">
        <v>20</v>
      </c>
      <c r="G28">
        <v>30</v>
      </c>
      <c r="H28" t="s">
        <v>17</v>
      </c>
      <c r="I28" t="s">
        <v>18</v>
      </c>
      <c r="J28" s="1">
        <v>629.26</v>
      </c>
      <c r="K28" s="2">
        <v>408399</v>
      </c>
      <c r="L28" s="2">
        <v>363534</v>
      </c>
      <c r="M28" s="2">
        <v>1820</v>
      </c>
      <c r="N28" t="s">
        <v>72</v>
      </c>
      <c r="O28" s="4">
        <f t="shared" si="2"/>
        <v>5.0064093042191376E-3</v>
      </c>
      <c r="P28" s="2">
        <v>17642</v>
      </c>
      <c r="Q28" s="2">
        <v>660</v>
      </c>
      <c r="R28" s="4">
        <v>1.1234</v>
      </c>
      <c r="S28" s="5">
        <v>4.3197951023386444E-2</v>
      </c>
      <c r="T28" s="7">
        <f t="shared" si="0"/>
        <v>1.6160666407116569E-3</v>
      </c>
      <c r="U28" s="1">
        <v>1.54</v>
      </c>
      <c r="V28" s="7">
        <v>4.4564261910533575E-3</v>
      </c>
      <c r="W28" t="str">
        <f t="shared" si="3"/>
        <v>Bad</v>
      </c>
    </row>
    <row r="29" spans="1:23" ht="15.75" customHeight="1" x14ac:dyDescent="0.25">
      <c r="A29" t="s">
        <v>35</v>
      </c>
      <c r="B29" t="s">
        <v>56</v>
      </c>
      <c r="C29" t="s">
        <v>45</v>
      </c>
      <c r="D29" t="s">
        <v>15</v>
      </c>
      <c r="E29" t="str">
        <f t="shared" si="1"/>
        <v>Millennials</v>
      </c>
      <c r="F29" t="s">
        <v>16</v>
      </c>
      <c r="G29">
        <v>30</v>
      </c>
      <c r="H29" t="s">
        <v>17</v>
      </c>
      <c r="I29" t="s">
        <v>18</v>
      </c>
      <c r="J29" s="1">
        <v>144.6</v>
      </c>
      <c r="K29" s="2">
        <v>67198</v>
      </c>
      <c r="L29" s="2">
        <v>36242</v>
      </c>
      <c r="M29" s="2">
        <v>219</v>
      </c>
      <c r="N29" t="s">
        <v>74</v>
      </c>
      <c r="O29" s="4">
        <f t="shared" si="2"/>
        <v>6.0427128745654214E-3</v>
      </c>
      <c r="P29" s="2">
        <v>17386</v>
      </c>
      <c r="Q29" s="2">
        <v>976</v>
      </c>
      <c r="R29" s="4">
        <v>1.8541000000000001</v>
      </c>
      <c r="S29" s="5">
        <v>0.25872793833149799</v>
      </c>
      <c r="T29" s="7">
        <f t="shared" si="0"/>
        <v>1.4524241792910503E-2</v>
      </c>
      <c r="U29" s="1">
        <v>2.15</v>
      </c>
      <c r="V29" s="7">
        <v>3.2590255662370902E-3</v>
      </c>
      <c r="W29" t="str">
        <f t="shared" si="3"/>
        <v>Bad</v>
      </c>
    </row>
    <row r="30" spans="1:23" ht="15.75" customHeight="1" x14ac:dyDescent="0.25">
      <c r="A30" t="s">
        <v>35</v>
      </c>
      <c r="B30" t="s">
        <v>56</v>
      </c>
      <c r="C30" t="s">
        <v>44</v>
      </c>
      <c r="D30" t="s">
        <v>15</v>
      </c>
      <c r="E30" t="str">
        <f t="shared" si="1"/>
        <v>Millennials</v>
      </c>
      <c r="F30" t="s">
        <v>20</v>
      </c>
      <c r="G30">
        <v>45</v>
      </c>
      <c r="H30" t="s">
        <v>17</v>
      </c>
      <c r="I30" t="s">
        <v>18</v>
      </c>
      <c r="J30" s="1">
        <v>477.23</v>
      </c>
      <c r="K30" s="2">
        <v>316220</v>
      </c>
      <c r="L30" s="2">
        <v>288595</v>
      </c>
      <c r="M30" s="2">
        <v>1360</v>
      </c>
      <c r="N30" t="s">
        <v>72</v>
      </c>
      <c r="O30" s="4">
        <f t="shared" si="2"/>
        <v>4.7124863563124796E-3</v>
      </c>
      <c r="P30" s="2">
        <v>12955</v>
      </c>
      <c r="Q30" s="2">
        <v>237</v>
      </c>
      <c r="R30" s="4">
        <v>1.0956999999999999</v>
      </c>
      <c r="S30" s="5">
        <v>4.0968313199671112E-2</v>
      </c>
      <c r="T30" s="7">
        <f t="shared" si="0"/>
        <v>7.4947821137182969E-4</v>
      </c>
      <c r="U30" s="1">
        <v>1.51</v>
      </c>
      <c r="V30" s="7">
        <v>4.3008032382518503E-3</v>
      </c>
      <c r="W30" t="str">
        <f t="shared" si="3"/>
        <v>Bad</v>
      </c>
    </row>
    <row r="31" spans="1:23" ht="15.75" customHeight="1" x14ac:dyDescent="0.25">
      <c r="A31" t="s">
        <v>35</v>
      </c>
      <c r="B31" t="s">
        <v>56</v>
      </c>
      <c r="C31" t="s">
        <v>44</v>
      </c>
      <c r="D31" t="s">
        <v>15</v>
      </c>
      <c r="E31" t="str">
        <f t="shared" si="1"/>
        <v>Millennials</v>
      </c>
      <c r="F31" t="s">
        <v>16</v>
      </c>
      <c r="G31">
        <v>30</v>
      </c>
      <c r="H31" t="s">
        <v>17</v>
      </c>
      <c r="I31" t="s">
        <v>18</v>
      </c>
      <c r="J31" s="1">
        <v>583.54</v>
      </c>
      <c r="K31" s="2">
        <v>379261</v>
      </c>
      <c r="L31" s="2">
        <v>335734</v>
      </c>
      <c r="M31" s="2">
        <v>1767</v>
      </c>
      <c r="N31" t="s">
        <v>72</v>
      </c>
      <c r="O31" s="4">
        <f t="shared" si="2"/>
        <v>5.2630951884527636E-3</v>
      </c>
      <c r="P31" s="2">
        <v>17892</v>
      </c>
      <c r="Q31" s="2">
        <v>707</v>
      </c>
      <c r="R31" s="4">
        <v>1.1295999999999999</v>
      </c>
      <c r="S31" s="5">
        <v>4.717595534473621E-2</v>
      </c>
      <c r="T31" s="7">
        <f t="shared" si="0"/>
        <v>1.8641516000854294E-3</v>
      </c>
      <c r="U31" s="1">
        <v>1.54</v>
      </c>
      <c r="V31" s="7">
        <v>4.6590606468896092E-3</v>
      </c>
      <c r="W31" t="str">
        <f t="shared" si="3"/>
        <v>Bad</v>
      </c>
    </row>
    <row r="32" spans="1:23" ht="15.75" customHeight="1" x14ac:dyDescent="0.25">
      <c r="A32" t="s">
        <v>35</v>
      </c>
      <c r="B32" t="s">
        <v>56</v>
      </c>
      <c r="C32" t="s">
        <v>44</v>
      </c>
      <c r="D32" t="s">
        <v>15</v>
      </c>
      <c r="E32" t="str">
        <f t="shared" si="1"/>
        <v>Millennials</v>
      </c>
      <c r="F32" t="s">
        <v>16</v>
      </c>
      <c r="G32">
        <v>30</v>
      </c>
      <c r="H32" t="s">
        <v>17</v>
      </c>
      <c r="I32" t="s">
        <v>18</v>
      </c>
      <c r="J32" s="1">
        <v>3.22</v>
      </c>
      <c r="K32" s="2">
        <v>6742</v>
      </c>
      <c r="L32" s="2">
        <v>6681</v>
      </c>
      <c r="M32" s="2">
        <v>0</v>
      </c>
      <c r="N32" t="s">
        <v>74</v>
      </c>
      <c r="O32" s="4">
        <f t="shared" si="2"/>
        <v>0</v>
      </c>
      <c r="P32" s="2">
        <v>109</v>
      </c>
      <c r="Q32" s="2">
        <v>9</v>
      </c>
      <c r="R32" s="4">
        <v>1.0091000000000001</v>
      </c>
      <c r="S32" s="5">
        <v>1.6167309403737763E-2</v>
      </c>
      <c r="T32" s="7">
        <f t="shared" si="0"/>
        <v>1.3349154553544942E-3</v>
      </c>
      <c r="U32" s="1">
        <v>0.48</v>
      </c>
      <c r="V32" s="7">
        <v>0</v>
      </c>
      <c r="W32" t="str">
        <f t="shared" si="3"/>
        <v>Bad</v>
      </c>
    </row>
    <row r="33" spans="1:23" ht="15.75" customHeight="1" x14ac:dyDescent="0.25">
      <c r="A33" t="s">
        <v>35</v>
      </c>
      <c r="B33" t="s">
        <v>56</v>
      </c>
      <c r="C33" t="s">
        <v>45</v>
      </c>
      <c r="D33" t="s">
        <v>15</v>
      </c>
      <c r="E33" t="str">
        <f t="shared" si="1"/>
        <v>Millennials</v>
      </c>
      <c r="F33" t="s">
        <v>20</v>
      </c>
      <c r="G33">
        <v>30</v>
      </c>
      <c r="H33" t="s">
        <v>17</v>
      </c>
      <c r="I33" t="s">
        <v>18</v>
      </c>
      <c r="J33" s="1">
        <v>252.25</v>
      </c>
      <c r="K33" s="2">
        <v>121854</v>
      </c>
      <c r="L33" s="2">
        <v>54536</v>
      </c>
      <c r="M33" s="2">
        <v>443</v>
      </c>
      <c r="N33" t="s">
        <v>74</v>
      </c>
      <c r="O33" s="4">
        <f t="shared" si="2"/>
        <v>8.1230746662754871E-3</v>
      </c>
      <c r="P33" s="2">
        <v>30086</v>
      </c>
      <c r="Q33" s="2">
        <v>1616</v>
      </c>
      <c r="R33" s="4">
        <v>2.2343999999999999</v>
      </c>
      <c r="S33" s="5">
        <v>0.24690203029855401</v>
      </c>
      <c r="T33" s="7">
        <f t="shared" si="0"/>
        <v>1.3261772284865496E-2</v>
      </c>
      <c r="U33" s="1">
        <v>2.0699999999999998</v>
      </c>
      <c r="V33" s="7">
        <v>3.6354982191803306E-3</v>
      </c>
      <c r="W33" t="str">
        <f t="shared" si="3"/>
        <v>Bad</v>
      </c>
    </row>
    <row r="34" spans="1:23" ht="15.75" customHeight="1" x14ac:dyDescent="0.25">
      <c r="A34" t="s">
        <v>35</v>
      </c>
      <c r="B34" t="s">
        <v>56</v>
      </c>
      <c r="C34" t="s">
        <v>45</v>
      </c>
      <c r="D34" t="s">
        <v>15</v>
      </c>
      <c r="E34" t="str">
        <f t="shared" si="1"/>
        <v>Millennials</v>
      </c>
      <c r="F34" t="s">
        <v>20</v>
      </c>
      <c r="G34">
        <v>45</v>
      </c>
      <c r="H34" t="s">
        <v>17</v>
      </c>
      <c r="I34" t="s">
        <v>18</v>
      </c>
      <c r="J34" s="1">
        <v>295.93</v>
      </c>
      <c r="K34" s="2">
        <v>151566</v>
      </c>
      <c r="L34" s="2">
        <v>72115</v>
      </c>
      <c r="M34" s="2">
        <v>507</v>
      </c>
      <c r="N34" t="s">
        <v>74</v>
      </c>
      <c r="O34" s="4">
        <f t="shared" si="2"/>
        <v>7.0304374956666436E-3</v>
      </c>
      <c r="P34" s="2">
        <v>35408</v>
      </c>
      <c r="Q34" s="2">
        <v>1302</v>
      </c>
      <c r="R34" s="4">
        <v>2.1017000000000001</v>
      </c>
      <c r="S34" s="5">
        <v>0.23361439900769301</v>
      </c>
      <c r="T34" s="7">
        <f t="shared" ref="T34:T54" si="4">Q34/K34</f>
        <v>8.5903170895847356E-3</v>
      </c>
      <c r="U34" s="1">
        <v>1.95</v>
      </c>
      <c r="V34" s="7">
        <v>3.3450773920272354E-3</v>
      </c>
      <c r="W34" t="str">
        <f t="shared" si="3"/>
        <v>Bad</v>
      </c>
    </row>
    <row r="35" spans="1:23" ht="15.75" customHeight="1" x14ac:dyDescent="0.25">
      <c r="A35" t="s">
        <v>14</v>
      </c>
      <c r="B35" t="s">
        <v>55</v>
      </c>
      <c r="C35" t="s">
        <v>44</v>
      </c>
      <c r="D35" t="s">
        <v>38</v>
      </c>
      <c r="E35" t="str">
        <f t="shared" si="1"/>
        <v>Boomers</v>
      </c>
      <c r="F35" t="s">
        <v>16</v>
      </c>
      <c r="G35">
        <v>30</v>
      </c>
      <c r="H35" t="s">
        <v>17</v>
      </c>
      <c r="I35" t="s">
        <v>18</v>
      </c>
      <c r="J35" s="1">
        <v>254.03</v>
      </c>
      <c r="K35" s="2">
        <v>227289</v>
      </c>
      <c r="L35" s="2">
        <v>212576</v>
      </c>
      <c r="M35" s="2">
        <v>703</v>
      </c>
      <c r="N35" t="s">
        <v>74</v>
      </c>
      <c r="O35" s="4">
        <f t="shared" si="2"/>
        <v>3.3070525365045912E-3</v>
      </c>
      <c r="P35" s="2">
        <v>8387</v>
      </c>
      <c r="Q35" s="2">
        <v>333</v>
      </c>
      <c r="R35" s="4">
        <v>1.0691999999999999</v>
      </c>
      <c r="S35" s="5">
        <v>3.6900157948690872E-2</v>
      </c>
      <c r="T35" s="7">
        <f t="shared" si="4"/>
        <v>1.4650950991908979E-3</v>
      </c>
      <c r="U35" s="1">
        <v>1.1200000000000001</v>
      </c>
      <c r="V35" s="7">
        <v>3.0929785427363399E-3</v>
      </c>
      <c r="W35" t="str">
        <f t="shared" si="3"/>
        <v>Bad</v>
      </c>
    </row>
    <row r="36" spans="1:23" ht="15.75" customHeight="1" x14ac:dyDescent="0.25">
      <c r="A36" t="s">
        <v>14</v>
      </c>
      <c r="B36" t="s">
        <v>55</v>
      </c>
      <c r="C36" t="s">
        <v>45</v>
      </c>
      <c r="D36" t="s">
        <v>38</v>
      </c>
      <c r="E36" t="str">
        <f t="shared" si="1"/>
        <v>Boomers</v>
      </c>
      <c r="F36" t="s">
        <v>16</v>
      </c>
      <c r="G36">
        <v>30</v>
      </c>
      <c r="H36" t="s">
        <v>17</v>
      </c>
      <c r="I36" t="s">
        <v>18</v>
      </c>
      <c r="J36" s="1">
        <v>184.27</v>
      </c>
      <c r="K36" s="2">
        <v>97212</v>
      </c>
      <c r="L36" s="2">
        <v>46969</v>
      </c>
      <c r="M36" s="2">
        <v>256</v>
      </c>
      <c r="N36" t="s">
        <v>74</v>
      </c>
      <c r="O36" s="4">
        <f t="shared" si="2"/>
        <v>5.4504034575996937E-3</v>
      </c>
      <c r="P36" s="2">
        <v>29205</v>
      </c>
      <c r="Q36" s="2">
        <v>1241</v>
      </c>
      <c r="R36" s="4">
        <v>2.0697000000000001</v>
      </c>
      <c r="S36" s="5">
        <v>0.30042587334896925</v>
      </c>
      <c r="T36" s="7">
        <f t="shared" si="4"/>
        <v>1.2765913673209069E-2</v>
      </c>
      <c r="U36" s="1">
        <v>1.9</v>
      </c>
      <c r="V36" s="7">
        <v>2.6334197424186315E-3</v>
      </c>
      <c r="W36" t="str">
        <f t="shared" si="3"/>
        <v>Bad</v>
      </c>
    </row>
    <row r="37" spans="1:23" ht="15.75" customHeight="1" x14ac:dyDescent="0.25">
      <c r="A37" t="s">
        <v>14</v>
      </c>
      <c r="B37" t="s">
        <v>55</v>
      </c>
      <c r="C37" t="s">
        <v>44</v>
      </c>
      <c r="D37" t="s">
        <v>15</v>
      </c>
      <c r="E37" t="str">
        <f t="shared" si="1"/>
        <v>Millennials</v>
      </c>
      <c r="F37" t="s">
        <v>16</v>
      </c>
      <c r="G37">
        <v>30</v>
      </c>
      <c r="H37" t="s">
        <v>17</v>
      </c>
      <c r="I37" t="s">
        <v>18</v>
      </c>
      <c r="J37" s="1">
        <v>2892.86</v>
      </c>
      <c r="K37" s="2">
        <v>2607632</v>
      </c>
      <c r="L37" s="2">
        <v>2161313</v>
      </c>
      <c r="M37" s="2">
        <v>7275</v>
      </c>
      <c r="N37" t="s">
        <v>72</v>
      </c>
      <c r="O37" s="4">
        <f t="shared" si="2"/>
        <v>3.3660094581395659E-3</v>
      </c>
      <c r="P37" s="2">
        <v>96804</v>
      </c>
      <c r="Q37" s="2">
        <v>3470</v>
      </c>
      <c r="R37" s="4">
        <v>1.2064999999999999</v>
      </c>
      <c r="S37" s="5">
        <v>3.7123336421703679E-2</v>
      </c>
      <c r="T37" s="7">
        <f t="shared" si="4"/>
        <v>1.3307092411812709E-3</v>
      </c>
      <c r="U37" s="1">
        <v>1.1100000000000001</v>
      </c>
      <c r="V37" s="7">
        <v>2.7898875301422899E-3</v>
      </c>
      <c r="W37" t="str">
        <f t="shared" si="3"/>
        <v>Bad</v>
      </c>
    </row>
    <row r="38" spans="1:23" ht="15.75" customHeight="1" x14ac:dyDescent="0.25">
      <c r="A38" t="s">
        <v>14</v>
      </c>
      <c r="B38" t="s">
        <v>55</v>
      </c>
      <c r="C38" t="s">
        <v>45</v>
      </c>
      <c r="D38" t="s">
        <v>38</v>
      </c>
      <c r="E38" t="str">
        <f t="shared" si="1"/>
        <v>Boomers</v>
      </c>
      <c r="F38" t="s">
        <v>16</v>
      </c>
      <c r="G38">
        <v>45</v>
      </c>
      <c r="H38" t="s">
        <v>17</v>
      </c>
      <c r="I38" t="s">
        <v>18</v>
      </c>
      <c r="J38" s="1">
        <v>72.2</v>
      </c>
      <c r="K38" s="2">
        <v>31561</v>
      </c>
      <c r="L38" s="2">
        <v>16469</v>
      </c>
      <c r="M38" s="2">
        <v>188</v>
      </c>
      <c r="N38" t="s">
        <v>74</v>
      </c>
      <c r="O38" s="4">
        <f t="shared" si="2"/>
        <v>1.1415386483696641E-2</v>
      </c>
      <c r="P38" s="2">
        <v>11761</v>
      </c>
      <c r="Q38" s="2">
        <v>189</v>
      </c>
      <c r="R38" s="4">
        <v>1.9164000000000001</v>
      </c>
      <c r="S38" s="5">
        <v>0.37264345236209245</v>
      </c>
      <c r="T38" s="7">
        <f t="shared" si="4"/>
        <v>5.9884034092709355E-3</v>
      </c>
      <c r="U38" s="1">
        <v>2.29</v>
      </c>
      <c r="V38" s="7">
        <v>5.9567187351478087E-3</v>
      </c>
      <c r="W38" t="str">
        <f t="shared" si="3"/>
        <v>Bad</v>
      </c>
    </row>
    <row r="39" spans="1:23" ht="15.75" customHeight="1" x14ac:dyDescent="0.25">
      <c r="A39" t="s">
        <v>14</v>
      </c>
      <c r="B39" t="s">
        <v>55</v>
      </c>
      <c r="C39" t="s">
        <v>44</v>
      </c>
      <c r="D39" t="s">
        <v>38</v>
      </c>
      <c r="E39" t="str">
        <f t="shared" si="1"/>
        <v>Boomers</v>
      </c>
      <c r="F39" t="s">
        <v>16</v>
      </c>
      <c r="G39">
        <v>45</v>
      </c>
      <c r="H39" t="s">
        <v>17</v>
      </c>
      <c r="I39" t="s">
        <v>18</v>
      </c>
      <c r="J39" s="1">
        <v>288.45</v>
      </c>
      <c r="K39" s="2">
        <v>256417</v>
      </c>
      <c r="L39" s="2">
        <v>225115</v>
      </c>
      <c r="M39" s="2">
        <v>873</v>
      </c>
      <c r="N39" t="s">
        <v>74</v>
      </c>
      <c r="O39" s="4">
        <f t="shared" si="2"/>
        <v>3.8780179019612198E-3</v>
      </c>
      <c r="P39" s="2">
        <v>10872</v>
      </c>
      <c r="Q39" s="2">
        <v>211</v>
      </c>
      <c r="R39" s="4">
        <v>1.139</v>
      </c>
      <c r="S39" s="5">
        <v>4.2399684888287437E-2</v>
      </c>
      <c r="T39" s="7">
        <f t="shared" si="4"/>
        <v>8.2287835829917676E-4</v>
      </c>
      <c r="U39" s="1">
        <v>1.1200000000000001</v>
      </c>
      <c r="V39" s="7">
        <v>3.404610458744935E-3</v>
      </c>
      <c r="W39" t="str">
        <f t="shared" si="3"/>
        <v>Bad</v>
      </c>
    </row>
    <row r="40" spans="1:23" ht="15.75" customHeight="1" x14ac:dyDescent="0.25">
      <c r="A40" t="s">
        <v>14</v>
      </c>
      <c r="B40" t="s">
        <v>55</v>
      </c>
      <c r="C40" t="s">
        <v>45</v>
      </c>
      <c r="D40" t="s">
        <v>38</v>
      </c>
      <c r="E40" t="str">
        <f t="shared" si="1"/>
        <v>Boomers</v>
      </c>
      <c r="F40" t="s">
        <v>16</v>
      </c>
      <c r="G40">
        <v>30</v>
      </c>
      <c r="H40" t="s">
        <v>17</v>
      </c>
      <c r="I40" t="s">
        <v>18</v>
      </c>
      <c r="J40" s="1">
        <v>205.76</v>
      </c>
      <c r="K40" s="2">
        <v>89255</v>
      </c>
      <c r="L40" s="2">
        <v>36816</v>
      </c>
      <c r="M40" s="2">
        <v>505</v>
      </c>
      <c r="N40" t="s">
        <v>74</v>
      </c>
      <c r="O40" s="4">
        <f t="shared" si="2"/>
        <v>1.3716862233811387E-2</v>
      </c>
      <c r="P40" s="2">
        <v>32894</v>
      </c>
      <c r="Q40" s="2">
        <v>1058</v>
      </c>
      <c r="R40" s="4">
        <v>2.4243999999999999</v>
      </c>
      <c r="S40" s="5">
        <v>0.36853957761469947</v>
      </c>
      <c r="T40" s="7">
        <f t="shared" si="4"/>
        <v>1.18536776651168E-2</v>
      </c>
      <c r="U40" s="1">
        <v>2.31</v>
      </c>
      <c r="V40" s="7">
        <v>5.6579463335387371E-3</v>
      </c>
      <c r="W40" t="str">
        <f t="shared" si="3"/>
        <v>Bad</v>
      </c>
    </row>
    <row r="41" spans="1:23" ht="15.75" customHeight="1" x14ac:dyDescent="0.25">
      <c r="A41" t="s">
        <v>14</v>
      </c>
      <c r="B41" t="s">
        <v>55</v>
      </c>
      <c r="C41" t="s">
        <v>45</v>
      </c>
      <c r="D41" t="s">
        <v>38</v>
      </c>
      <c r="E41" t="str">
        <f t="shared" si="1"/>
        <v>Boomers</v>
      </c>
      <c r="F41" t="s">
        <v>16</v>
      </c>
      <c r="G41">
        <v>45</v>
      </c>
      <c r="H41" t="s">
        <v>17</v>
      </c>
      <c r="I41" t="s">
        <v>18</v>
      </c>
      <c r="J41" s="1">
        <v>93.69</v>
      </c>
      <c r="K41" s="2">
        <v>47012</v>
      </c>
      <c r="L41" s="2">
        <v>27076</v>
      </c>
      <c r="M41" s="2">
        <v>217</v>
      </c>
      <c r="N41" t="s">
        <v>74</v>
      </c>
      <c r="O41" s="4">
        <f t="shared" si="2"/>
        <v>8.0144777662874873E-3</v>
      </c>
      <c r="P41" s="2">
        <v>13381</v>
      </c>
      <c r="Q41" s="2">
        <v>338</v>
      </c>
      <c r="R41" s="4">
        <v>1.7363</v>
      </c>
      <c r="S41" s="5">
        <v>0.28462945630902747</v>
      </c>
      <c r="T41" s="7">
        <f t="shared" si="4"/>
        <v>7.1896537054369101E-3</v>
      </c>
      <c r="U41" s="1">
        <v>1.99</v>
      </c>
      <c r="V41" s="7">
        <v>4.6158427635497323E-3</v>
      </c>
      <c r="W41" t="str">
        <f t="shared" si="3"/>
        <v>Bad</v>
      </c>
    </row>
    <row r="42" spans="1:23" ht="15.75" customHeight="1" x14ac:dyDescent="0.25">
      <c r="A42" t="s">
        <v>14</v>
      </c>
      <c r="B42" t="s">
        <v>55</v>
      </c>
      <c r="C42" t="s">
        <v>44</v>
      </c>
      <c r="D42" t="s">
        <v>15</v>
      </c>
      <c r="E42" t="str">
        <f t="shared" si="1"/>
        <v>Millennials</v>
      </c>
      <c r="F42" t="s">
        <v>16</v>
      </c>
      <c r="G42">
        <v>45</v>
      </c>
      <c r="H42" t="s">
        <v>17</v>
      </c>
      <c r="I42" t="s">
        <v>18</v>
      </c>
      <c r="J42" s="1">
        <v>2910.22</v>
      </c>
      <c r="K42" s="2">
        <v>2618714</v>
      </c>
      <c r="L42" s="2">
        <v>2119755</v>
      </c>
      <c r="M42" s="2">
        <v>7449</v>
      </c>
      <c r="N42" t="s">
        <v>72</v>
      </c>
      <c r="O42" s="4">
        <f t="shared" si="2"/>
        <v>3.5140853542036696E-3</v>
      </c>
      <c r="P42" s="2">
        <v>97157</v>
      </c>
      <c r="Q42" s="2">
        <v>1902</v>
      </c>
      <c r="R42" s="4">
        <v>1.2354000000000001</v>
      </c>
      <c r="S42" s="5">
        <v>3.7101035088215058E-2</v>
      </c>
      <c r="T42" s="7">
        <f t="shared" si="4"/>
        <v>7.2631070059578861E-4</v>
      </c>
      <c r="U42" s="1">
        <v>1.1100000000000001</v>
      </c>
      <c r="V42" s="7">
        <v>2.8445259772544845E-3</v>
      </c>
      <c r="W42" t="str">
        <f t="shared" si="3"/>
        <v>Bad</v>
      </c>
    </row>
    <row r="43" spans="1:23" ht="15.75" customHeight="1" x14ac:dyDescent="0.25">
      <c r="A43" t="s">
        <v>14</v>
      </c>
      <c r="B43" t="s">
        <v>55</v>
      </c>
      <c r="C43" t="s">
        <v>44</v>
      </c>
      <c r="D43" t="s">
        <v>38</v>
      </c>
      <c r="E43" t="str">
        <f t="shared" si="1"/>
        <v>Boomers</v>
      </c>
      <c r="F43" t="s">
        <v>16</v>
      </c>
      <c r="G43">
        <v>45</v>
      </c>
      <c r="H43" t="s">
        <v>17</v>
      </c>
      <c r="I43" t="s">
        <v>18</v>
      </c>
      <c r="J43" s="1">
        <v>279.56</v>
      </c>
      <c r="K43" s="2">
        <v>249255</v>
      </c>
      <c r="L43" s="2">
        <v>222573</v>
      </c>
      <c r="M43" s="2">
        <v>745</v>
      </c>
      <c r="N43" t="s">
        <v>74</v>
      </c>
      <c r="O43" s="4">
        <f t="shared" si="2"/>
        <v>3.3472164188827935E-3</v>
      </c>
      <c r="P43" s="2">
        <v>9169</v>
      </c>
      <c r="Q43" s="2">
        <v>233</v>
      </c>
      <c r="R43" s="4">
        <v>1.1198999999999999</v>
      </c>
      <c r="S43" s="5">
        <v>3.6785621151030068E-2</v>
      </c>
      <c r="T43" s="7">
        <f t="shared" si="4"/>
        <v>9.347856612705864E-4</v>
      </c>
      <c r="U43" s="1">
        <v>1.1200000000000001</v>
      </c>
      <c r="V43" s="7">
        <v>2.988906942689214E-3</v>
      </c>
      <c r="W43" t="str">
        <f t="shared" si="3"/>
        <v>Bad</v>
      </c>
    </row>
    <row r="44" spans="1:23" ht="15.75" customHeight="1" x14ac:dyDescent="0.25">
      <c r="A44" t="s">
        <v>14</v>
      </c>
      <c r="B44" t="s">
        <v>55</v>
      </c>
      <c r="C44" t="s">
        <v>45</v>
      </c>
      <c r="D44" t="s">
        <v>15</v>
      </c>
      <c r="E44" t="str">
        <f t="shared" si="1"/>
        <v>Millennials</v>
      </c>
      <c r="F44" t="s">
        <v>16</v>
      </c>
      <c r="G44">
        <v>45</v>
      </c>
      <c r="H44" t="s">
        <v>17</v>
      </c>
      <c r="I44" t="s">
        <v>18</v>
      </c>
      <c r="J44" s="1">
        <v>850.44</v>
      </c>
      <c r="K44" s="2">
        <v>414857</v>
      </c>
      <c r="L44" s="2">
        <v>161331</v>
      </c>
      <c r="M44" s="2">
        <v>1666</v>
      </c>
      <c r="N44" t="s">
        <v>72</v>
      </c>
      <c r="O44" s="4">
        <f t="shared" si="2"/>
        <v>1.0326595632581464E-2</v>
      </c>
      <c r="P44" s="2">
        <v>134928</v>
      </c>
      <c r="Q44" s="2">
        <v>3003</v>
      </c>
      <c r="R44" s="4">
        <v>2.5714999999999999</v>
      </c>
      <c r="S44" s="5">
        <v>0.3252397814186575</v>
      </c>
      <c r="T44" s="7">
        <f t="shared" si="4"/>
        <v>7.238638856280598E-3</v>
      </c>
      <c r="U44" s="1">
        <v>2.0499999999999998</v>
      </c>
      <c r="V44" s="7">
        <v>4.0158416032512407E-3</v>
      </c>
      <c r="W44" t="str">
        <f t="shared" si="3"/>
        <v>Bad</v>
      </c>
    </row>
    <row r="45" spans="1:23" ht="15.75" customHeight="1" x14ac:dyDescent="0.25">
      <c r="A45" t="s">
        <v>14</v>
      </c>
      <c r="B45" t="s">
        <v>55</v>
      </c>
      <c r="C45" t="s">
        <v>45</v>
      </c>
      <c r="D45" t="s">
        <v>15</v>
      </c>
      <c r="E45" t="str">
        <f t="shared" si="1"/>
        <v>Millennials</v>
      </c>
      <c r="F45" t="s">
        <v>16</v>
      </c>
      <c r="G45">
        <v>30</v>
      </c>
      <c r="H45" t="s">
        <v>17</v>
      </c>
      <c r="I45" t="s">
        <v>18</v>
      </c>
      <c r="J45" s="1">
        <v>2657.12</v>
      </c>
      <c r="K45" s="2">
        <v>1363372</v>
      </c>
      <c r="L45" s="2">
        <v>572900</v>
      </c>
      <c r="M45" s="2">
        <v>4656</v>
      </c>
      <c r="N45" t="s">
        <v>72</v>
      </c>
      <c r="O45" s="4">
        <f t="shared" si="2"/>
        <v>8.1270727875720015E-3</v>
      </c>
      <c r="P45" s="2">
        <v>402299</v>
      </c>
      <c r="Q45" s="2">
        <v>13870</v>
      </c>
      <c r="R45" s="4">
        <v>2.3797999999999999</v>
      </c>
      <c r="S45" s="5">
        <v>0.29507647215873584</v>
      </c>
      <c r="T45" s="7">
        <f t="shared" si="4"/>
        <v>1.0173305598178634E-2</v>
      </c>
      <c r="U45" s="1">
        <v>1.95</v>
      </c>
      <c r="V45" s="7">
        <v>3.4150620666993309E-3</v>
      </c>
      <c r="W45" t="str">
        <f t="shared" si="3"/>
        <v>Bad</v>
      </c>
    </row>
    <row r="46" spans="1:23" ht="15.75" customHeight="1" x14ac:dyDescent="0.25">
      <c r="A46" t="s">
        <v>14</v>
      </c>
      <c r="B46" t="s">
        <v>55</v>
      </c>
      <c r="C46" t="s">
        <v>44</v>
      </c>
      <c r="D46" t="s">
        <v>38</v>
      </c>
      <c r="E46" t="str">
        <f t="shared" si="1"/>
        <v>Boomers</v>
      </c>
      <c r="F46" t="s">
        <v>16</v>
      </c>
      <c r="G46">
        <v>30</v>
      </c>
      <c r="H46" t="s">
        <v>17</v>
      </c>
      <c r="I46" t="s">
        <v>18</v>
      </c>
      <c r="J46" s="1">
        <v>265.06</v>
      </c>
      <c r="K46" s="2">
        <v>236171</v>
      </c>
      <c r="L46" s="2">
        <v>209081</v>
      </c>
      <c r="M46" s="2">
        <v>818</v>
      </c>
      <c r="N46" t="s">
        <v>74</v>
      </c>
      <c r="O46" s="4">
        <f t="shared" si="2"/>
        <v>3.9123593248549604E-3</v>
      </c>
      <c r="P46" s="2">
        <v>10162</v>
      </c>
      <c r="Q46" s="2">
        <v>403</v>
      </c>
      <c r="R46" s="4">
        <v>1.1295999999999999</v>
      </c>
      <c r="S46" s="5">
        <v>4.3028144861138748E-2</v>
      </c>
      <c r="T46" s="7">
        <f t="shared" si="4"/>
        <v>1.7063907084273683E-3</v>
      </c>
      <c r="U46" s="1">
        <v>1.1200000000000001</v>
      </c>
      <c r="V46" s="7">
        <v>3.4635920582967426E-3</v>
      </c>
      <c r="W46" t="str">
        <f t="shared" si="3"/>
        <v>Bad</v>
      </c>
    </row>
    <row r="47" spans="1:23" ht="15.75" customHeight="1" x14ac:dyDescent="0.25">
      <c r="A47" t="s">
        <v>46</v>
      </c>
      <c r="B47" t="s">
        <v>63</v>
      </c>
      <c r="C47" t="s">
        <v>44</v>
      </c>
      <c r="D47" t="s">
        <v>15</v>
      </c>
      <c r="E47" t="str">
        <f t="shared" si="1"/>
        <v>Millennials</v>
      </c>
      <c r="F47" t="s">
        <v>20</v>
      </c>
      <c r="G47">
        <v>45</v>
      </c>
      <c r="H47" t="s">
        <v>17</v>
      </c>
      <c r="I47" t="s">
        <v>18</v>
      </c>
      <c r="J47" s="1">
        <v>76.81</v>
      </c>
      <c r="K47" s="2">
        <v>80972</v>
      </c>
      <c r="L47" s="2">
        <v>79988</v>
      </c>
      <c r="M47" s="2">
        <v>179</v>
      </c>
      <c r="N47" t="s">
        <v>74</v>
      </c>
      <c r="O47" s="4">
        <f t="shared" si="2"/>
        <v>2.2378356753513027E-3</v>
      </c>
      <c r="P47" s="2">
        <v>1779</v>
      </c>
      <c r="Q47" s="2">
        <v>31</v>
      </c>
      <c r="R47" s="4">
        <v>1.0123</v>
      </c>
      <c r="S47" s="5">
        <v>2.1970557723657559E-2</v>
      </c>
      <c r="T47" s="7">
        <f t="shared" si="4"/>
        <v>3.8284839203675346E-4</v>
      </c>
      <c r="U47" s="1">
        <v>0.95</v>
      </c>
      <c r="V47" s="7">
        <v>2.2106407153089959E-3</v>
      </c>
      <c r="W47" t="str">
        <f t="shared" si="3"/>
        <v>Bad</v>
      </c>
    </row>
    <row r="48" spans="1:23" ht="15.75" customHeight="1" x14ac:dyDescent="0.25">
      <c r="A48" t="s">
        <v>46</v>
      </c>
      <c r="B48" t="s">
        <v>63</v>
      </c>
      <c r="C48" t="s">
        <v>45</v>
      </c>
      <c r="D48" t="s">
        <v>15</v>
      </c>
      <c r="E48" t="str">
        <f t="shared" si="1"/>
        <v>Millennials</v>
      </c>
      <c r="F48" t="s">
        <v>20</v>
      </c>
      <c r="G48">
        <v>30</v>
      </c>
      <c r="H48" t="s">
        <v>17</v>
      </c>
      <c r="I48" t="s">
        <v>18</v>
      </c>
      <c r="J48" s="1">
        <v>21.55</v>
      </c>
      <c r="K48" s="2">
        <v>11571</v>
      </c>
      <c r="L48" s="2">
        <v>8544</v>
      </c>
      <c r="M48" s="2">
        <v>29</v>
      </c>
      <c r="N48" t="s">
        <v>74</v>
      </c>
      <c r="O48" s="4">
        <f t="shared" si="2"/>
        <v>3.3941947565543072E-3</v>
      </c>
      <c r="P48" s="2">
        <v>2125</v>
      </c>
      <c r="Q48" s="2">
        <v>66</v>
      </c>
      <c r="R48" s="4">
        <v>1.3543000000000001</v>
      </c>
      <c r="S48" s="5">
        <v>0.18364877711520181</v>
      </c>
      <c r="T48" s="7">
        <f t="shared" si="4"/>
        <v>5.7039149598133261E-3</v>
      </c>
      <c r="U48" s="1">
        <v>1.86</v>
      </c>
      <c r="V48" s="7">
        <v>2.5062656641604009E-3</v>
      </c>
      <c r="W48" t="str">
        <f t="shared" si="3"/>
        <v>Bad</v>
      </c>
    </row>
    <row r="49" spans="1:23" ht="15.75" customHeight="1" x14ac:dyDescent="0.25">
      <c r="A49" t="s">
        <v>46</v>
      </c>
      <c r="B49" t="s">
        <v>63</v>
      </c>
      <c r="C49" t="s">
        <v>44</v>
      </c>
      <c r="D49" t="s">
        <v>15</v>
      </c>
      <c r="E49" t="str">
        <f t="shared" si="1"/>
        <v>Millennials</v>
      </c>
      <c r="F49" t="s">
        <v>20</v>
      </c>
      <c r="G49">
        <v>30</v>
      </c>
      <c r="H49" t="s">
        <v>17</v>
      </c>
      <c r="I49" t="s">
        <v>18</v>
      </c>
      <c r="J49" s="1">
        <v>73.180000000000007</v>
      </c>
      <c r="K49" s="2">
        <v>77585</v>
      </c>
      <c r="L49" s="2">
        <v>74948</v>
      </c>
      <c r="M49" s="2">
        <v>178</v>
      </c>
      <c r="N49" t="s">
        <v>74</v>
      </c>
      <c r="O49" s="4">
        <f t="shared" si="2"/>
        <v>2.3749799861237124E-3</v>
      </c>
      <c r="P49" s="2">
        <v>1704</v>
      </c>
      <c r="Q49" s="2">
        <v>66</v>
      </c>
      <c r="R49" s="4">
        <v>1.0351999999999999</v>
      </c>
      <c r="S49" s="5">
        <v>2.1963008313462654E-2</v>
      </c>
      <c r="T49" s="7">
        <f t="shared" si="4"/>
        <v>8.5067989946510279E-4</v>
      </c>
      <c r="U49" s="1">
        <v>0.94</v>
      </c>
      <c r="V49" s="7">
        <v>2.2942579106786107E-3</v>
      </c>
      <c r="W49" t="str">
        <f t="shared" si="3"/>
        <v>Bad</v>
      </c>
    </row>
    <row r="50" spans="1:23" ht="15.75" customHeight="1" x14ac:dyDescent="0.25">
      <c r="A50" t="s">
        <v>46</v>
      </c>
      <c r="B50" t="s">
        <v>63</v>
      </c>
      <c r="C50" t="s">
        <v>44</v>
      </c>
      <c r="D50" t="s">
        <v>15</v>
      </c>
      <c r="E50" t="str">
        <f t="shared" si="1"/>
        <v>Millennials</v>
      </c>
      <c r="F50" t="s">
        <v>16</v>
      </c>
      <c r="G50">
        <v>30</v>
      </c>
      <c r="H50" t="s">
        <v>17</v>
      </c>
      <c r="I50" t="s">
        <v>18</v>
      </c>
      <c r="J50" s="1">
        <v>75.13</v>
      </c>
      <c r="K50" s="2">
        <v>79539</v>
      </c>
      <c r="L50" s="2">
        <v>73748</v>
      </c>
      <c r="M50" s="2">
        <v>181</v>
      </c>
      <c r="N50" t="s">
        <v>74</v>
      </c>
      <c r="O50" s="4">
        <f t="shared" si="2"/>
        <v>2.4543038455280145E-3</v>
      </c>
      <c r="P50" s="2">
        <v>1963</v>
      </c>
      <c r="Q50" s="2">
        <v>64</v>
      </c>
      <c r="R50" s="4">
        <v>1.0785</v>
      </c>
      <c r="S50" s="5">
        <v>2.4679716868454469E-2</v>
      </c>
      <c r="T50" s="7">
        <f t="shared" si="4"/>
        <v>8.0463671909377786E-4</v>
      </c>
      <c r="U50" s="1">
        <v>0.94</v>
      </c>
      <c r="V50" s="7">
        <v>2.2756132211870905E-3</v>
      </c>
      <c r="W50" t="str">
        <f t="shared" si="3"/>
        <v>Bad</v>
      </c>
    </row>
    <row r="51" spans="1:23" ht="15.75" customHeight="1" x14ac:dyDescent="0.25">
      <c r="A51" t="s">
        <v>46</v>
      </c>
      <c r="B51" t="s">
        <v>63</v>
      </c>
      <c r="C51" t="s">
        <v>45</v>
      </c>
      <c r="D51" t="s">
        <v>15</v>
      </c>
      <c r="E51" t="str">
        <f t="shared" si="1"/>
        <v>Millennials</v>
      </c>
      <c r="F51" t="s">
        <v>16</v>
      </c>
      <c r="G51">
        <v>30</v>
      </c>
      <c r="H51" t="s">
        <v>17</v>
      </c>
      <c r="I51" t="s">
        <v>18</v>
      </c>
      <c r="J51" s="1">
        <v>36.24</v>
      </c>
      <c r="K51" s="2">
        <v>18246</v>
      </c>
      <c r="L51" s="2">
        <v>12121</v>
      </c>
      <c r="M51" s="2">
        <v>66</v>
      </c>
      <c r="N51" t="s">
        <v>74</v>
      </c>
      <c r="O51" s="4">
        <f t="shared" si="2"/>
        <v>5.4450952891675602E-3</v>
      </c>
      <c r="P51" s="2">
        <v>3617</v>
      </c>
      <c r="Q51" s="2">
        <v>96</v>
      </c>
      <c r="R51" s="4">
        <v>1.5053000000000001</v>
      </c>
      <c r="S51" s="5">
        <v>0.19823522963937301</v>
      </c>
      <c r="T51" s="7">
        <f t="shared" si="4"/>
        <v>5.2614271621177246E-3</v>
      </c>
      <c r="U51" s="1">
        <v>1.99</v>
      </c>
      <c r="V51" s="7">
        <v>3.6172311739559354E-3</v>
      </c>
      <c r="W51" t="str">
        <f t="shared" si="3"/>
        <v>Bad</v>
      </c>
    </row>
    <row r="52" spans="1:23" ht="15.75" customHeight="1" x14ac:dyDescent="0.25">
      <c r="A52" t="s">
        <v>46</v>
      </c>
      <c r="B52" t="s">
        <v>63</v>
      </c>
      <c r="C52" t="s">
        <v>45</v>
      </c>
      <c r="D52" t="s">
        <v>15</v>
      </c>
      <c r="E52" t="str">
        <f t="shared" si="1"/>
        <v>Millennials</v>
      </c>
      <c r="F52" t="s">
        <v>16</v>
      </c>
      <c r="G52">
        <v>45</v>
      </c>
      <c r="H52" t="s">
        <v>17</v>
      </c>
      <c r="I52" t="s">
        <v>18</v>
      </c>
      <c r="J52" s="1">
        <v>110.04</v>
      </c>
      <c r="K52" s="2">
        <v>57922</v>
      </c>
      <c r="L52" s="2">
        <v>30601</v>
      </c>
      <c r="M52" s="2">
        <v>100</v>
      </c>
      <c r="N52" t="s">
        <v>74</v>
      </c>
      <c r="O52" s="4">
        <f t="shared" si="2"/>
        <v>3.2678670631678705E-3</v>
      </c>
      <c r="P52" s="2">
        <v>12453</v>
      </c>
      <c r="Q52" s="2">
        <v>230</v>
      </c>
      <c r="R52" s="4">
        <v>1.8928</v>
      </c>
      <c r="S52" s="5">
        <v>0.2149960291426401</v>
      </c>
      <c r="T52" s="7">
        <f t="shared" si="4"/>
        <v>3.9708573598977934E-3</v>
      </c>
      <c r="U52" s="1">
        <v>1.9</v>
      </c>
      <c r="V52" s="7">
        <v>1.7264597216946928E-3</v>
      </c>
      <c r="W52" t="str">
        <f t="shared" si="3"/>
        <v>Bad</v>
      </c>
    </row>
    <row r="53" spans="1:23" ht="15.75" customHeight="1" x14ac:dyDescent="0.25">
      <c r="A53" t="s">
        <v>46</v>
      </c>
      <c r="B53" t="s">
        <v>63</v>
      </c>
      <c r="C53" t="s">
        <v>44</v>
      </c>
      <c r="D53" t="s">
        <v>15</v>
      </c>
      <c r="E53" t="str">
        <f t="shared" si="1"/>
        <v>Millennials</v>
      </c>
      <c r="F53" t="s">
        <v>16</v>
      </c>
      <c r="G53">
        <v>45</v>
      </c>
      <c r="H53" t="s">
        <v>17</v>
      </c>
      <c r="I53" t="s">
        <v>18</v>
      </c>
      <c r="J53" s="1">
        <v>82.73</v>
      </c>
      <c r="K53" s="2">
        <v>88110</v>
      </c>
      <c r="L53" s="2">
        <v>84751</v>
      </c>
      <c r="M53" s="2">
        <v>202</v>
      </c>
      <c r="N53" t="s">
        <v>74</v>
      </c>
      <c r="O53" s="4">
        <f t="shared" si="2"/>
        <v>2.3834527026229779E-3</v>
      </c>
      <c r="P53" s="2">
        <v>2080</v>
      </c>
      <c r="Q53" s="2">
        <v>51</v>
      </c>
      <c r="R53" s="4">
        <v>1.0396000000000001</v>
      </c>
      <c r="S53" s="5">
        <v>2.3606855067529225E-2</v>
      </c>
      <c r="T53" s="7">
        <f t="shared" si="4"/>
        <v>5.7882192713653387E-4</v>
      </c>
      <c r="U53" s="1">
        <v>0.94</v>
      </c>
      <c r="V53" s="7">
        <v>2.2925888094427419E-3</v>
      </c>
      <c r="W53" t="str">
        <f t="shared" si="3"/>
        <v>Bad</v>
      </c>
    </row>
    <row r="54" spans="1:23" ht="15.75" customHeight="1" x14ac:dyDescent="0.25">
      <c r="A54" t="s">
        <v>46</v>
      </c>
      <c r="B54" t="s">
        <v>63</v>
      </c>
      <c r="C54" t="s">
        <v>45</v>
      </c>
      <c r="D54" t="s">
        <v>15</v>
      </c>
      <c r="E54" t="str">
        <f t="shared" si="1"/>
        <v>Millennials</v>
      </c>
      <c r="F54" t="s">
        <v>20</v>
      </c>
      <c r="G54">
        <v>45</v>
      </c>
      <c r="H54" t="s">
        <v>17</v>
      </c>
      <c r="I54" t="s">
        <v>18</v>
      </c>
      <c r="J54" s="1">
        <v>62.96</v>
      </c>
      <c r="K54" s="2">
        <v>33929</v>
      </c>
      <c r="L54" s="2">
        <v>17927</v>
      </c>
      <c r="M54" s="2">
        <v>84</v>
      </c>
      <c r="N54" t="s">
        <v>74</v>
      </c>
      <c r="O54" s="4">
        <f t="shared" si="2"/>
        <v>4.6856696602889493E-3</v>
      </c>
      <c r="P54" s="2">
        <v>6655</v>
      </c>
      <c r="Q54" s="2">
        <v>145</v>
      </c>
      <c r="R54" s="4">
        <v>1.8926000000000001</v>
      </c>
      <c r="S54" s="5">
        <v>0.19614489080137934</v>
      </c>
      <c r="T54" s="7">
        <f t="shared" si="4"/>
        <v>4.2736302278287008E-3</v>
      </c>
      <c r="U54" s="1">
        <v>1.86</v>
      </c>
      <c r="V54" s="7">
        <v>2.4757582009490406E-3</v>
      </c>
      <c r="W54" t="str">
        <f t="shared" si="3"/>
        <v>Bad</v>
      </c>
    </row>
    <row r="55" spans="1:23" ht="15.75" customHeight="1" x14ac:dyDescent="0.25">
      <c r="N55" s="32"/>
      <c r="V55" s="9"/>
    </row>
    <row r="56" spans="1:23" ht="15.75" customHeight="1" x14ac:dyDescent="0.25">
      <c r="V56" s="9"/>
    </row>
    <row r="57" spans="1:23" ht="15.75" customHeight="1" x14ac:dyDescent="0.25"/>
    <row r="58" spans="1:23" ht="15.75" customHeight="1" x14ac:dyDescent="0.25"/>
    <row r="59" spans="1:23" ht="15.75" customHeight="1" x14ac:dyDescent="0.25"/>
    <row r="60" spans="1:23" ht="15.75" customHeight="1" x14ac:dyDescent="0.25"/>
    <row r="61" spans="1:23" ht="15.75" customHeight="1" x14ac:dyDescent="0.25"/>
    <row r="62" spans="1:23" ht="15.75" customHeight="1" x14ac:dyDescent="0.25"/>
    <row r="63" spans="1:23" ht="15.75" customHeight="1" x14ac:dyDescent="0.25"/>
    <row r="64" spans="1:23"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W54" xr:uid="{00000000-0001-0000-0200-000000000000}"/>
  <phoneticPr fontId="6" type="noConversion"/>
  <conditionalFormatting sqref="B2:B54">
    <cfRule type="expression" dxfId="112" priority="13">
      <formula>N2="High"</formula>
    </cfRule>
    <cfRule type="expression" dxfId="111" priority="14">
      <formula>$N$2="High"</formula>
    </cfRule>
  </conditionalFormatting>
  <conditionalFormatting sqref="N2:O54 O3:O56">
    <cfRule type="containsText" dxfId="110" priority="1" operator="containsText" text="High">
      <formula>NOT(ISERROR(SEARCH("High",N2)))</formula>
    </cfRule>
    <cfRule type="containsText" dxfId="109" priority="9" operator="containsText" text="High">
      <formula>NOT(ISERROR(SEARCH("High",N2)))</formula>
    </cfRule>
    <cfRule type="containsText" dxfId="108" priority="10" operator="containsText" text="Low">
      <formula>NOT(ISERROR(SEARCH("Low",N2)))</formula>
    </cfRule>
  </conditionalFormatting>
  <conditionalFormatting sqref="N2:O56">
    <cfRule type="containsText" dxfId="107" priority="8" operator="containsText" text="High">
      <formula>NOT(ISERROR(SEARCH("High",N2)))</formula>
    </cfRule>
  </conditionalFormatting>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B1E9A-4505-48EC-97BE-973763A382B9}">
  <sheetPr codeName="Sheet6"/>
  <dimension ref="A1:H5"/>
  <sheetViews>
    <sheetView tabSelected="1" zoomScale="59" zoomScaleNormal="115" workbookViewId="0">
      <selection activeCell="H3" sqref="H3:H5"/>
    </sheetView>
  </sheetViews>
  <sheetFormatPr defaultRowHeight="15" x14ac:dyDescent="0.25"/>
  <cols>
    <col min="2" max="2" width="22.28515625" customWidth="1"/>
    <col min="3" max="3" width="14.140625" customWidth="1"/>
    <col min="4" max="6" width="22.140625" customWidth="1"/>
    <col min="7" max="7" width="24.28515625" customWidth="1"/>
    <col min="8" max="8" width="42.7109375" customWidth="1"/>
  </cols>
  <sheetData>
    <row r="1" spans="1:8" ht="104.25" customHeight="1" x14ac:dyDescent="1">
      <c r="A1" s="77" t="s">
        <v>92</v>
      </c>
      <c r="B1" s="78"/>
      <c r="C1" s="78"/>
      <c r="D1" s="78"/>
      <c r="E1" s="78"/>
      <c r="F1" s="78"/>
      <c r="G1" s="78"/>
      <c r="H1" s="79"/>
    </row>
    <row r="2" spans="1:8" ht="46.5" x14ac:dyDescent="0.65">
      <c r="A2" s="62" t="s">
        <v>101</v>
      </c>
      <c r="B2" s="80" t="s">
        <v>99</v>
      </c>
      <c r="C2" s="81"/>
      <c r="D2" s="34" t="s">
        <v>93</v>
      </c>
      <c r="E2" s="34" t="s">
        <v>32</v>
      </c>
      <c r="F2" s="34" t="s">
        <v>8</v>
      </c>
      <c r="G2" s="60" t="s">
        <v>7</v>
      </c>
      <c r="H2" s="63" t="s">
        <v>13</v>
      </c>
    </row>
    <row r="3" spans="1:8" ht="30" x14ac:dyDescent="0.4">
      <c r="A3" s="64">
        <v>1</v>
      </c>
      <c r="B3" s="82" t="s">
        <v>95</v>
      </c>
      <c r="C3" s="83"/>
      <c r="D3" s="35">
        <f>SUM('Meta - Data'!H2:H427)/SUM('Meta - Data'!K2:K427)</f>
        <v>0.12673810074901992</v>
      </c>
      <c r="E3" s="36">
        <f>AVERAGE('Meta - Data'!P2:P427)</f>
        <v>0.14377997060766945</v>
      </c>
      <c r="F3" s="35">
        <f>AVERAGE('Meta - Data'!R2:R427)</f>
        <v>1.1215053435719344</v>
      </c>
      <c r="G3" s="61">
        <f>AVERAGE('Meta - Data'!S2:S427)</f>
        <v>3.6528369792846451E-3</v>
      </c>
      <c r="H3" s="65">
        <f>AVERAGE('Meta - Data'!O2:O427)</f>
        <v>0.32666267413145539</v>
      </c>
    </row>
    <row r="4" spans="1:8" ht="30" x14ac:dyDescent="0.4">
      <c r="A4" s="66">
        <v>2</v>
      </c>
      <c r="B4" s="84" t="s">
        <v>96</v>
      </c>
      <c r="C4" s="85"/>
      <c r="D4" s="35">
        <f>SUM('Tiktok - Data'!H2:H73)/SUM('Tiktok - Data'!K2:K73)</f>
        <v>0.6574365143346601</v>
      </c>
      <c r="E4" s="36">
        <f>AVERAGE('Tiktok - Data'!P2:P73)</f>
        <v>0.14860875904623497</v>
      </c>
      <c r="F4" s="37">
        <f>AVERAGE('Tiktok - Data'!R2:R73)</f>
        <v>1.8877777777777776</v>
      </c>
      <c r="G4" s="61">
        <f>AVERAGE('Tiktok - Data'!S2:S73)</f>
        <v>9.4444444444444437E-4</v>
      </c>
      <c r="H4" s="65">
        <f>AVERAGE('Tiktok - Data'!O2:O73)</f>
        <v>4.3450704225352112E-3</v>
      </c>
    </row>
    <row r="5" spans="1:8" ht="30.75" thickBot="1" x14ac:dyDescent="0.45">
      <c r="A5" s="67">
        <v>3</v>
      </c>
      <c r="B5" s="86" t="s">
        <v>97</v>
      </c>
      <c r="C5" s="87"/>
      <c r="D5" s="68">
        <f>SUM('Snapchat - Data'!J2:J54)/SUM('Snapchat - Data'!M2:M54)</f>
        <v>0.42065189619301391</v>
      </c>
      <c r="E5" s="69">
        <f>AVERAGE('Snapchat - Data'!S2:S54)</f>
        <v>0.15732683031191932</v>
      </c>
      <c r="F5" s="68">
        <f>AVERAGE('Snapchat - Data'!U2:U54)</f>
        <v>1.6230188679245283</v>
      </c>
      <c r="G5" s="70">
        <f>AVERAGE('Snapchat - Data'!V2:V54)</f>
        <v>3.5372972080900491E-3</v>
      </c>
      <c r="H5" s="71">
        <f>AVERAGE('Snapchat - Data'!O2:O54)</f>
        <v>5.6328882631672163E-3</v>
      </c>
    </row>
  </sheetData>
  <mergeCells count="5">
    <mergeCell ref="A1:H1"/>
    <mergeCell ref="B2:C2"/>
    <mergeCell ref="B3:C3"/>
    <mergeCell ref="B4:C4"/>
    <mergeCell ref="B5:C5"/>
  </mergeCells>
  <conditionalFormatting sqref="B2:H2 A1 B3:C5">
    <cfRule type="colorScale" priority="175">
      <colorScale>
        <cfvo type="min"/>
        <cfvo type="percentile" val="50"/>
        <cfvo type="max"/>
        <color rgb="FF63BE7B"/>
        <color rgb="FFFCFCFF"/>
        <color rgb="FFF8696B"/>
      </colorScale>
    </cfRule>
  </conditionalFormatting>
  <conditionalFormatting sqref="J3">
    <cfRule type="iconSet" priority="104">
      <iconSet iconSet="3TrafficLights2">
        <cfvo type="percent" val="0"/>
        <cfvo type="percent" val="33"/>
        <cfvo type="percent" val="67"/>
      </iconSet>
    </cfRule>
  </conditionalFormatting>
  <conditionalFormatting sqref="D3:D5">
    <cfRule type="iconSet" priority="48">
      <iconSet iconSet="3TrafficLights2" reverse="1">
        <cfvo type="percent" val="0"/>
        <cfvo type="num" val="0.3"/>
        <cfvo type="num" val="0.5"/>
      </iconSet>
    </cfRule>
  </conditionalFormatting>
  <conditionalFormatting sqref="F3:F5">
    <cfRule type="iconSet" priority="47">
      <iconSet iconSet="3TrafficLights2" reverse="1">
        <cfvo type="percent" val="0"/>
        <cfvo type="num" val="5"/>
        <cfvo type="num" val="8"/>
      </iconSet>
    </cfRule>
    <cfRule type="iconSet" priority="43">
      <iconSet iconSet="3TrafficLights2" reverse="1">
        <cfvo type="percent" val="0"/>
        <cfvo type="num" val="5"/>
        <cfvo type="num" val="8"/>
      </iconSet>
    </cfRule>
    <cfRule type="iconSet" priority="39">
      <iconSet iconSet="3TrafficLights2" reverse="1">
        <cfvo type="percent" val="0"/>
        <cfvo type="num" val="5"/>
        <cfvo type="num" val="8"/>
      </iconSet>
    </cfRule>
    <cfRule type="iconSet" priority="35">
      <iconSet iconSet="3TrafficLights2" reverse="1">
        <cfvo type="percent" val="0"/>
        <cfvo type="num" val="5"/>
        <cfvo type="num" val="8"/>
      </iconSet>
    </cfRule>
    <cfRule type="iconSet" priority="31">
      <iconSet iconSet="3TrafficLights2" reverse="1">
        <cfvo type="percent" val="0"/>
        <cfvo type="num" val="5"/>
        <cfvo type="num" val="8"/>
      </iconSet>
    </cfRule>
    <cfRule type="iconSet" priority="27">
      <iconSet iconSet="3TrafficLights2" reverse="1">
        <cfvo type="percent" val="0"/>
        <cfvo type="num" val="5"/>
        <cfvo type="num" val="8"/>
      </iconSet>
    </cfRule>
    <cfRule type="iconSet" priority="23">
      <iconSet iconSet="3TrafficLights2" reverse="1">
        <cfvo type="percent" val="0"/>
        <cfvo type="num" val="5"/>
        <cfvo type="num" val="8"/>
      </iconSet>
    </cfRule>
    <cfRule type="iconSet" priority="19">
      <iconSet iconSet="3TrafficLights2" reverse="1">
        <cfvo type="percent" val="0"/>
        <cfvo type="num" val="5"/>
        <cfvo type="num" val="8"/>
      </iconSet>
    </cfRule>
    <cfRule type="iconSet" priority="15">
      <iconSet iconSet="3TrafficLights2" reverse="1">
        <cfvo type="percent" val="0"/>
        <cfvo type="num" val="5"/>
        <cfvo type="num" val="8"/>
      </iconSet>
    </cfRule>
    <cfRule type="iconSet" priority="11">
      <iconSet iconSet="3TrafficLights2" reverse="1">
        <cfvo type="percent" val="0"/>
        <cfvo type="num" val="5"/>
        <cfvo type="num" val="8"/>
      </iconSet>
    </cfRule>
    <cfRule type="iconSet" priority="7">
      <iconSet iconSet="3TrafficLights2" reverse="1">
        <cfvo type="percent" val="0"/>
        <cfvo type="num" val="5"/>
        <cfvo type="num" val="8"/>
      </iconSet>
    </cfRule>
    <cfRule type="iconSet" priority="3">
      <iconSet iconSet="3TrafficLights2" reverse="1">
        <cfvo type="percent" val="0"/>
        <cfvo type="num" val="5"/>
        <cfvo type="num" val="8"/>
      </iconSet>
    </cfRule>
  </conditionalFormatting>
  <conditionalFormatting sqref="G3:G5">
    <cfRule type="iconSet" priority="46">
      <iconSet iconSet="3TrafficLights2">
        <cfvo type="percent" val="0"/>
        <cfvo type="num" val="0.01" gte="0"/>
        <cfvo type="num" val="1.4999999999999999E-2"/>
      </iconSet>
    </cfRule>
    <cfRule type="iconSet" priority="42">
      <iconSet iconSet="3TrafficLights2">
        <cfvo type="percent" val="0"/>
        <cfvo type="num" val="0.01" gte="0"/>
        <cfvo type="num" val="1.4999999999999999E-2"/>
      </iconSet>
    </cfRule>
    <cfRule type="iconSet" priority="38">
      <iconSet iconSet="3TrafficLights2">
        <cfvo type="percent" val="0"/>
        <cfvo type="num" val="0.01" gte="0"/>
        <cfvo type="num" val="1.4999999999999999E-2"/>
      </iconSet>
    </cfRule>
    <cfRule type="iconSet" priority="34">
      <iconSet iconSet="3TrafficLights2">
        <cfvo type="percent" val="0"/>
        <cfvo type="num" val="0.01" gte="0"/>
        <cfvo type="num" val="1.4999999999999999E-2"/>
      </iconSet>
    </cfRule>
    <cfRule type="iconSet" priority="30">
      <iconSet iconSet="3TrafficLights2">
        <cfvo type="percent" val="0"/>
        <cfvo type="num" val="0.01" gte="0"/>
        <cfvo type="num" val="1.4999999999999999E-2"/>
      </iconSet>
    </cfRule>
    <cfRule type="iconSet" priority="26">
      <iconSet iconSet="3TrafficLights2">
        <cfvo type="percent" val="0"/>
        <cfvo type="num" val="0.01" gte="0"/>
        <cfvo type="num" val="1.4999999999999999E-2"/>
      </iconSet>
    </cfRule>
    <cfRule type="iconSet" priority="22">
      <iconSet iconSet="3TrafficLights2">
        <cfvo type="percent" val="0"/>
        <cfvo type="num" val="0.01" gte="0"/>
        <cfvo type="num" val="1.4999999999999999E-2"/>
      </iconSet>
    </cfRule>
    <cfRule type="iconSet" priority="18">
      <iconSet iconSet="3TrafficLights2">
        <cfvo type="percent" val="0"/>
        <cfvo type="num" val="0.01" gte="0"/>
        <cfvo type="num" val="1.4999999999999999E-2"/>
      </iconSet>
    </cfRule>
    <cfRule type="iconSet" priority="14">
      <iconSet iconSet="3TrafficLights2">
        <cfvo type="percent" val="0"/>
        <cfvo type="num" val="0.01" gte="0"/>
        <cfvo type="num" val="1.4999999999999999E-2"/>
      </iconSet>
    </cfRule>
    <cfRule type="iconSet" priority="10">
      <iconSet iconSet="3TrafficLights2">
        <cfvo type="percent" val="0"/>
        <cfvo type="num" val="0.01" gte="0"/>
        <cfvo type="num" val="1.4999999999999999E-2"/>
      </iconSet>
    </cfRule>
    <cfRule type="iconSet" priority="6">
      <iconSet iconSet="3TrafficLights2">
        <cfvo type="percent" val="0"/>
        <cfvo type="num" val="0.01" gte="0"/>
        <cfvo type="num" val="1.4999999999999999E-2"/>
      </iconSet>
    </cfRule>
    <cfRule type="iconSet" priority="2">
      <iconSet iconSet="3TrafficLights2">
        <cfvo type="percent" val="0"/>
        <cfvo type="num" val="0.01" gte="0"/>
        <cfvo type="num" val="1.4999999999999999E-2"/>
      </iconSet>
    </cfRule>
  </conditionalFormatting>
  <conditionalFormatting sqref="H3:H5">
    <cfRule type="iconSet" priority="45">
      <iconSet iconSet="3TrafficLights2">
        <cfvo type="percent" val="0"/>
        <cfvo type="num" val="0.03"/>
        <cfvo type="num" val="3.5000000000000003E-2"/>
      </iconSet>
    </cfRule>
    <cfRule type="iconSet" priority="41">
      <iconSet iconSet="3TrafficLights2">
        <cfvo type="percent" val="0"/>
        <cfvo type="num" val="0.03"/>
        <cfvo type="num" val="3.5000000000000003E-2"/>
      </iconSet>
    </cfRule>
    <cfRule type="iconSet" priority="40">
      <iconSet iconSet="3TrafficLights2" reverse="1">
        <cfvo type="percent" val="0"/>
        <cfvo type="num" val="0.3"/>
        <cfvo type="num" val="0.5"/>
      </iconSet>
    </cfRule>
    <cfRule type="iconSet" priority="37">
      <iconSet iconSet="3TrafficLights2">
        <cfvo type="percent" val="0"/>
        <cfvo type="num" val="0.03"/>
        <cfvo type="num" val="3.5000000000000003E-2"/>
      </iconSet>
    </cfRule>
    <cfRule type="iconSet" priority="36">
      <iconSet iconSet="3TrafficLights2" reverse="1">
        <cfvo type="percent" val="0"/>
        <cfvo type="num" val="0.3"/>
        <cfvo type="num" val="0.5"/>
      </iconSet>
    </cfRule>
    <cfRule type="iconSet" priority="33">
      <iconSet iconSet="3TrafficLights2">
        <cfvo type="percent" val="0"/>
        <cfvo type="num" val="0.03"/>
        <cfvo type="num" val="3.5000000000000003E-2"/>
      </iconSet>
    </cfRule>
    <cfRule type="iconSet" priority="32">
      <iconSet iconSet="3TrafficLights2" reverse="1">
        <cfvo type="percent" val="0"/>
        <cfvo type="num" val="0.3"/>
        <cfvo type="num" val="0.5"/>
      </iconSet>
    </cfRule>
    <cfRule type="iconSet" priority="29">
      <iconSet iconSet="3TrafficLights2">
        <cfvo type="percent" val="0"/>
        <cfvo type="num" val="0.03"/>
        <cfvo type="num" val="3.5000000000000003E-2"/>
      </iconSet>
    </cfRule>
    <cfRule type="iconSet" priority="28">
      <iconSet iconSet="3TrafficLights2" reverse="1">
        <cfvo type="percent" val="0"/>
        <cfvo type="num" val="0.3"/>
        <cfvo type="num" val="0.5"/>
      </iconSet>
    </cfRule>
    <cfRule type="iconSet" priority="25">
      <iconSet iconSet="3TrafficLights2">
        <cfvo type="percent" val="0"/>
        <cfvo type="num" val="0.03"/>
        <cfvo type="num" val="3.5000000000000003E-2"/>
      </iconSet>
    </cfRule>
    <cfRule type="iconSet" priority="24">
      <iconSet iconSet="3TrafficLights2" reverse="1">
        <cfvo type="percent" val="0"/>
        <cfvo type="num" val="0.3"/>
        <cfvo type="num" val="0.5"/>
      </iconSet>
    </cfRule>
    <cfRule type="iconSet" priority="21">
      <iconSet iconSet="3TrafficLights2">
        <cfvo type="percent" val="0"/>
        <cfvo type="num" val="0.03"/>
        <cfvo type="num" val="3.5000000000000003E-2"/>
      </iconSet>
    </cfRule>
    <cfRule type="iconSet" priority="20">
      <iconSet iconSet="3TrafficLights2" reverse="1">
        <cfvo type="percent" val="0"/>
        <cfvo type="num" val="0.3"/>
        <cfvo type="num" val="0.5"/>
      </iconSet>
    </cfRule>
    <cfRule type="iconSet" priority="17">
      <iconSet iconSet="3TrafficLights2">
        <cfvo type="percent" val="0"/>
        <cfvo type="num" val="0.03"/>
        <cfvo type="num" val="3.5000000000000003E-2"/>
      </iconSet>
    </cfRule>
    <cfRule type="iconSet" priority="16">
      <iconSet iconSet="3TrafficLights2" reverse="1">
        <cfvo type="percent" val="0"/>
        <cfvo type="num" val="0.3"/>
        <cfvo type="num" val="0.5"/>
      </iconSet>
    </cfRule>
    <cfRule type="iconSet" priority="13">
      <iconSet iconSet="3TrafficLights2">
        <cfvo type="percent" val="0"/>
        <cfvo type="num" val="0.03"/>
        <cfvo type="num" val="3.5000000000000003E-2"/>
      </iconSet>
    </cfRule>
    <cfRule type="iconSet" priority="12">
      <iconSet iconSet="3TrafficLights2" reverse="1">
        <cfvo type="percent" val="0"/>
        <cfvo type="num" val="0.3"/>
        <cfvo type="num" val="0.5"/>
      </iconSet>
    </cfRule>
    <cfRule type="iconSet" priority="9">
      <iconSet iconSet="3TrafficLights2">
        <cfvo type="percent" val="0"/>
        <cfvo type="num" val="0.03"/>
        <cfvo type="num" val="3.5000000000000003E-2"/>
      </iconSet>
    </cfRule>
    <cfRule type="iconSet" priority="8">
      <iconSet iconSet="3TrafficLights2" reverse="1">
        <cfvo type="percent" val="0"/>
        <cfvo type="num" val="0.3"/>
        <cfvo type="num" val="0.5"/>
      </iconSet>
    </cfRule>
    <cfRule type="iconSet" priority="5">
      <iconSet iconSet="3TrafficLights2">
        <cfvo type="percent" val="0"/>
        <cfvo type="num" val="0.03"/>
        <cfvo type="num" val="3.5000000000000003E-2"/>
      </iconSet>
    </cfRule>
    <cfRule type="iconSet" priority="1">
      <iconSet iconSet="3TrafficLights2">
        <cfvo type="percent" val="0"/>
        <cfvo type="num" val="0.03"/>
        <cfvo type="num" val="3.5000000000000003E-2"/>
      </iconSet>
    </cfRule>
  </conditionalFormatting>
  <conditionalFormatting sqref="O6:O1048576">
    <cfRule type="iconSet" priority="44">
      <iconSet iconSet="3TrafficLights2" reverse="1">
        <cfvo type="percent" val="0"/>
        <cfvo type="num" val="0.3"/>
        <cfvo type="num" val="0.5"/>
      </iconSet>
    </cfRule>
  </conditionalFormatting>
  <conditionalFormatting sqref="R22:R1048576">
    <cfRule type="iconSet" priority="4">
      <iconSet iconSet="3TrafficLights2" reverse="1">
        <cfvo type="percent" val="0"/>
        <cfvo type="num" val="0.3"/>
        <cfvo type="num" val="0.5"/>
      </iconSet>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F9FAC-3590-4B32-9377-700825C31D29}">
  <sheetPr codeName="Sheet4"/>
  <dimension ref="A1:Q27"/>
  <sheetViews>
    <sheetView zoomScale="84" zoomScaleNormal="67" workbookViewId="0">
      <selection activeCell="C4" sqref="C4"/>
    </sheetView>
  </sheetViews>
  <sheetFormatPr defaultRowHeight="15" x14ac:dyDescent="0.25"/>
  <cols>
    <col min="1" max="1" width="98.85546875" customWidth="1"/>
    <col min="2" max="2" width="21.7109375" customWidth="1"/>
    <col min="3" max="3" width="13.7109375" customWidth="1"/>
    <col min="4" max="4" width="23.42578125" customWidth="1"/>
    <col min="5" max="5" width="17.140625" customWidth="1"/>
    <col min="6" max="6" width="11.5703125" bestFit="1" customWidth="1"/>
    <col min="7" max="7" width="13.140625" bestFit="1" customWidth="1"/>
    <col min="8" max="8" width="13.42578125" bestFit="1" customWidth="1"/>
    <col min="9" max="9" width="24.5703125" bestFit="1" customWidth="1"/>
    <col min="10" max="10" width="27.42578125" customWidth="1"/>
    <col min="11" max="11" width="12.7109375" bestFit="1" customWidth="1"/>
    <col min="12" max="12" width="25.140625" bestFit="1" customWidth="1"/>
    <col min="14" max="14" width="13.140625" bestFit="1" customWidth="1"/>
    <col min="15" max="15" width="25.140625" bestFit="1" customWidth="1"/>
  </cols>
  <sheetData>
    <row r="1" spans="1:17" ht="37.5" customHeight="1" x14ac:dyDescent="0.3">
      <c r="A1" s="10" t="s">
        <v>104</v>
      </c>
    </row>
    <row r="2" spans="1:17" ht="36.75" customHeight="1" x14ac:dyDescent="0.3">
      <c r="A2" s="73" t="s">
        <v>107</v>
      </c>
    </row>
    <row r="3" spans="1:17" ht="18.75" x14ac:dyDescent="0.3">
      <c r="A3" s="12" t="s">
        <v>108</v>
      </c>
    </row>
    <row r="4" spans="1:17" ht="37.5" x14ac:dyDescent="0.3">
      <c r="A4" s="10" t="s">
        <v>105</v>
      </c>
    </row>
    <row r="5" spans="1:17" x14ac:dyDescent="0.25">
      <c r="A5" s="40" t="s">
        <v>114</v>
      </c>
    </row>
    <row r="7" spans="1:17" ht="37.5" x14ac:dyDescent="0.3">
      <c r="A7" s="10" t="s">
        <v>82</v>
      </c>
      <c r="B7" s="11"/>
      <c r="C7" s="11"/>
      <c r="D7" s="11"/>
      <c r="E7" s="11"/>
    </row>
    <row r="8" spans="1:17" ht="18.75" x14ac:dyDescent="0.3">
      <c r="A8" s="12" t="s">
        <v>81</v>
      </c>
      <c r="B8" s="11"/>
      <c r="C8" s="11"/>
      <c r="D8" s="11"/>
      <c r="E8" s="11"/>
    </row>
    <row r="9" spans="1:17" ht="39.75" customHeight="1" x14ac:dyDescent="0.3">
      <c r="A9" s="10" t="s">
        <v>83</v>
      </c>
      <c r="B9" s="11"/>
      <c r="C9" s="11"/>
      <c r="D9" s="11"/>
      <c r="E9" s="11"/>
    </row>
    <row r="10" spans="1:17" ht="18.75" x14ac:dyDescent="0.3">
      <c r="A10" s="12" t="s">
        <v>71</v>
      </c>
      <c r="B10" s="11"/>
      <c r="C10" s="11"/>
      <c r="D10" s="11"/>
      <c r="E10" s="11"/>
    </row>
    <row r="11" spans="1:17" ht="41.25" customHeight="1" x14ac:dyDescent="0.3">
      <c r="A11" s="13" t="s">
        <v>84</v>
      </c>
      <c r="B11" s="11"/>
      <c r="C11" s="11"/>
      <c r="D11" s="11"/>
      <c r="E11" s="11"/>
    </row>
    <row r="12" spans="1:17" ht="41.25" customHeight="1" x14ac:dyDescent="0.3">
      <c r="A12" s="28" t="s">
        <v>90</v>
      </c>
      <c r="B12" s="11"/>
      <c r="C12" s="11"/>
      <c r="D12" s="11"/>
      <c r="E12" s="11"/>
    </row>
    <row r="13" spans="1:17" ht="37.5" x14ac:dyDescent="0.3">
      <c r="A13" s="14" t="s">
        <v>85</v>
      </c>
      <c r="B13" s="11"/>
      <c r="C13" s="11"/>
      <c r="D13" s="11"/>
      <c r="E13" s="11"/>
    </row>
    <row r="14" spans="1:17" ht="25.5" customHeight="1" x14ac:dyDescent="0.25">
      <c r="A14" s="88" t="s">
        <v>86</v>
      </c>
      <c r="B14" s="15" t="s">
        <v>1</v>
      </c>
      <c r="C14" s="16" t="s">
        <v>76</v>
      </c>
      <c r="D14" s="59" t="s">
        <v>77</v>
      </c>
      <c r="E14" s="58" t="s">
        <v>89</v>
      </c>
    </row>
    <row r="15" spans="1:17" ht="19.5" customHeight="1" x14ac:dyDescent="0.25">
      <c r="A15" s="88"/>
      <c r="B15" s="17" t="s">
        <v>47</v>
      </c>
      <c r="C15" s="18">
        <v>31766</v>
      </c>
      <c r="D15" s="18">
        <v>16873762</v>
      </c>
      <c r="E15" s="19">
        <v>1.8825677403770421E-3</v>
      </c>
    </row>
    <row r="16" spans="1:17" s="26" customFormat="1" ht="15" customHeight="1" x14ac:dyDescent="0.25">
      <c r="A16" s="88"/>
      <c r="B16" s="23" t="s">
        <v>54</v>
      </c>
      <c r="C16" s="24">
        <v>12769</v>
      </c>
      <c r="D16" s="24">
        <v>11363327</v>
      </c>
      <c r="E16" s="25">
        <v>1.123702591679356E-3</v>
      </c>
      <c r="M16"/>
      <c r="P16"/>
      <c r="Q16">
        <f>COUNTIF('Snapchat - Data'!N2:N54,"High")/COUNTA('Snapchat - Data'!N2:N54)</f>
        <v>0.28301886792452829</v>
      </c>
    </row>
    <row r="17" spans="1:17" x14ac:dyDescent="0.25">
      <c r="A17" s="29" t="s">
        <v>91</v>
      </c>
      <c r="B17" s="17" t="s">
        <v>53</v>
      </c>
      <c r="C17" s="18">
        <v>3613</v>
      </c>
      <c r="D17" s="18">
        <v>2098862</v>
      </c>
      <c r="E17" s="19">
        <v>1.7214090302268563E-3</v>
      </c>
      <c r="Q17">
        <f>COUNTIF('Snapchat - Data'!N3:N55,"Low")/COUNTA('Snapchat - Data'!N3:N55)</f>
        <v>0.71153846153846156</v>
      </c>
    </row>
    <row r="18" spans="1:17" x14ac:dyDescent="0.25">
      <c r="A18" s="11"/>
      <c r="B18" s="17" t="s">
        <v>52</v>
      </c>
      <c r="C18" s="18">
        <v>17744</v>
      </c>
      <c r="D18" s="18">
        <v>15307011</v>
      </c>
      <c r="E18" s="19">
        <v>1.1592073723602865E-3</v>
      </c>
    </row>
    <row r="19" spans="1:17" ht="25.5" customHeight="1" x14ac:dyDescent="0.25">
      <c r="A19" s="11"/>
      <c r="B19" s="17" t="s">
        <v>51</v>
      </c>
      <c r="C19" s="18">
        <v>6936</v>
      </c>
      <c r="D19" s="18">
        <v>5882789</v>
      </c>
      <c r="E19" s="19">
        <v>1.1790325983134871E-3</v>
      </c>
    </row>
    <row r="20" spans="1:17" x14ac:dyDescent="0.25">
      <c r="A20" s="11"/>
      <c r="B20" s="17" t="s">
        <v>50</v>
      </c>
      <c r="C20" s="18">
        <v>0</v>
      </c>
      <c r="D20" s="18">
        <v>2567839</v>
      </c>
      <c r="E20" s="19">
        <v>0</v>
      </c>
    </row>
    <row r="21" spans="1:17" x14ac:dyDescent="0.25">
      <c r="A21" s="11"/>
      <c r="B21" s="17" t="s">
        <v>49</v>
      </c>
      <c r="C21" s="18">
        <v>6429</v>
      </c>
      <c r="D21" s="18">
        <v>4128788</v>
      </c>
      <c r="E21" s="19">
        <v>1.5571155506167911E-3</v>
      </c>
    </row>
    <row r="22" spans="1:17" x14ac:dyDescent="0.25">
      <c r="A22" s="11"/>
      <c r="B22" s="20" t="s">
        <v>48</v>
      </c>
      <c r="C22" s="21">
        <v>131</v>
      </c>
      <c r="D22" s="21">
        <v>56264</v>
      </c>
      <c r="E22" s="22">
        <v>2.3283093985496943E-3</v>
      </c>
    </row>
    <row r="24" spans="1:17" ht="17.25" customHeight="1" x14ac:dyDescent="0.3">
      <c r="A24" s="13" t="s">
        <v>87</v>
      </c>
      <c r="B24" s="27" t="s">
        <v>79</v>
      </c>
      <c r="C24" s="58" t="s">
        <v>88</v>
      </c>
      <c r="D24" s="59" t="s">
        <v>102</v>
      </c>
    </row>
    <row r="25" spans="1:17" ht="25.5" customHeight="1" x14ac:dyDescent="0.25">
      <c r="A25" s="89" t="s">
        <v>80</v>
      </c>
      <c r="B25" s="30" t="s">
        <v>68</v>
      </c>
      <c r="C25" s="31">
        <v>4.5927752220402173E-3</v>
      </c>
      <c r="D25" s="31">
        <v>1.9598209259415602E-2</v>
      </c>
    </row>
    <row r="26" spans="1:17" x14ac:dyDescent="0.25">
      <c r="A26" s="89"/>
      <c r="B26" s="39" t="s">
        <v>67</v>
      </c>
      <c r="C26" s="38">
        <v>3.305271391127438E-3</v>
      </c>
      <c r="D26" s="38">
        <v>7.1901630292864694E-3</v>
      </c>
    </row>
    <row r="27" spans="1:17" x14ac:dyDescent="0.25">
      <c r="A27" s="89"/>
    </row>
  </sheetData>
  <mergeCells count="2">
    <mergeCell ref="A14:A16"/>
    <mergeCell ref="A25:A27"/>
  </mergeCells>
  <conditionalFormatting pivot="1" sqref="D25:D26">
    <cfRule type="top10" dxfId="106" priority="2" rank="1"/>
  </conditionalFormatting>
  <conditionalFormatting pivot="1" sqref="E15:E22">
    <cfRule type="top10" dxfId="105" priority="1" rank="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C0DC1-E851-4E0D-AD63-F1BBC4DD1122}">
  <sheetPr codeName="Sheet5"/>
  <dimension ref="A1:T98"/>
  <sheetViews>
    <sheetView topLeftCell="A21" zoomScale="96" zoomScaleNormal="100" workbookViewId="0">
      <selection activeCell="H93" sqref="H93"/>
    </sheetView>
  </sheetViews>
  <sheetFormatPr defaultRowHeight="15" x14ac:dyDescent="0.25"/>
  <cols>
    <col min="1" max="1" width="12.7109375" customWidth="1"/>
    <col min="2" max="2" width="24.5703125" customWidth="1"/>
    <col min="3" max="8" width="9.7109375" bestFit="1" customWidth="1"/>
    <col min="9" max="9" width="11.28515625" bestFit="1" customWidth="1"/>
  </cols>
  <sheetData>
    <row r="1" spans="1:20" ht="59.25" x14ac:dyDescent="0.75">
      <c r="A1" s="90" t="s">
        <v>113</v>
      </c>
      <c r="B1" s="91"/>
      <c r="C1" s="91"/>
      <c r="D1" s="91"/>
      <c r="E1" s="91"/>
      <c r="F1" s="91"/>
      <c r="G1" s="91"/>
      <c r="H1" s="91"/>
      <c r="I1" s="91"/>
      <c r="J1" s="91"/>
      <c r="K1" s="91"/>
      <c r="L1" s="91"/>
      <c r="M1" s="91"/>
      <c r="N1" s="91"/>
      <c r="O1" s="91"/>
      <c r="P1" s="91"/>
      <c r="Q1" s="91"/>
      <c r="R1" s="91"/>
      <c r="S1" s="91"/>
      <c r="T1" s="92"/>
    </row>
    <row r="2" spans="1:20" ht="15" customHeight="1" x14ac:dyDescent="0.25">
      <c r="A2" s="93" t="s">
        <v>112</v>
      </c>
      <c r="B2" s="94"/>
      <c r="C2" s="94"/>
      <c r="D2" s="94"/>
      <c r="E2" s="94"/>
      <c r="F2" s="94"/>
      <c r="G2" s="94"/>
      <c r="H2" s="94"/>
      <c r="I2" s="94"/>
      <c r="J2" s="94"/>
      <c r="K2" s="94"/>
      <c r="L2" s="94"/>
      <c r="M2" s="94"/>
      <c r="N2" s="94"/>
      <c r="O2" s="94"/>
      <c r="P2" s="94"/>
      <c r="Q2" s="94"/>
      <c r="R2" s="94"/>
      <c r="S2" s="94"/>
      <c r="T2" s="95"/>
    </row>
    <row r="3" spans="1:20" ht="18.75" customHeight="1" x14ac:dyDescent="0.25">
      <c r="A3" s="93"/>
      <c r="B3" s="94"/>
      <c r="C3" s="94"/>
      <c r="D3" s="94"/>
      <c r="E3" s="94"/>
      <c r="F3" s="94"/>
      <c r="G3" s="94"/>
      <c r="H3" s="94"/>
      <c r="I3" s="94"/>
      <c r="J3" s="94"/>
      <c r="K3" s="94"/>
      <c r="L3" s="94"/>
      <c r="M3" s="94"/>
      <c r="N3" s="94"/>
      <c r="O3" s="94"/>
      <c r="P3" s="94"/>
      <c r="Q3" s="94"/>
      <c r="R3" s="94"/>
      <c r="S3" s="94"/>
      <c r="T3" s="95"/>
    </row>
    <row r="4" spans="1:20" x14ac:dyDescent="0.25">
      <c r="A4" s="45" t="s">
        <v>109</v>
      </c>
      <c r="B4" s="54" t="s">
        <v>0</v>
      </c>
      <c r="T4" s="44"/>
    </row>
    <row r="5" spans="1:20" x14ac:dyDescent="0.25">
      <c r="A5" s="45" t="s">
        <v>28</v>
      </c>
      <c r="B5" t="s">
        <v>25</v>
      </c>
      <c r="C5" t="s">
        <v>14</v>
      </c>
      <c r="D5" t="s">
        <v>23</v>
      </c>
      <c r="E5" t="s">
        <v>35</v>
      </c>
      <c r="F5" t="s">
        <v>36</v>
      </c>
      <c r="G5" t="s">
        <v>39</v>
      </c>
      <c r="H5" t="s">
        <v>37</v>
      </c>
      <c r="I5" t="s">
        <v>75</v>
      </c>
      <c r="T5" s="44"/>
    </row>
    <row r="6" spans="1:20" x14ac:dyDescent="0.25">
      <c r="A6" s="43" t="s">
        <v>33</v>
      </c>
      <c r="B6" s="2">
        <v>14406933</v>
      </c>
      <c r="C6" s="2">
        <v>12669461</v>
      </c>
      <c r="D6" s="2">
        <v>9130766</v>
      </c>
      <c r="E6" s="2">
        <v>6654747</v>
      </c>
      <c r="F6" s="2">
        <v>4781321</v>
      </c>
      <c r="G6" s="2">
        <v>4649320</v>
      </c>
      <c r="H6" s="2">
        <v>2708465</v>
      </c>
      <c r="I6" s="2">
        <v>55001013</v>
      </c>
      <c r="T6" s="44"/>
    </row>
    <row r="7" spans="1:20" x14ac:dyDescent="0.25">
      <c r="A7" s="43" t="s">
        <v>34</v>
      </c>
      <c r="B7" s="2">
        <v>11060004</v>
      </c>
      <c r="C7" s="2">
        <v>9264268</v>
      </c>
      <c r="D7" s="2">
        <v>7622061</v>
      </c>
      <c r="E7" s="2">
        <v>7195407</v>
      </c>
      <c r="F7" s="2">
        <v>5732486</v>
      </c>
      <c r="G7" s="2">
        <v>4046429</v>
      </c>
      <c r="H7" s="2">
        <v>3757658</v>
      </c>
      <c r="I7" s="2">
        <v>48678313</v>
      </c>
      <c r="T7" s="44"/>
    </row>
    <row r="8" spans="1:20" x14ac:dyDescent="0.25">
      <c r="A8" s="43" t="s">
        <v>18</v>
      </c>
      <c r="B8" s="2">
        <v>229499</v>
      </c>
      <c r="C8" s="2">
        <v>739178</v>
      </c>
      <c r="D8" s="2">
        <v>202006</v>
      </c>
      <c r="E8" s="2">
        <v>375133</v>
      </c>
      <c r="F8" s="2">
        <v>484559</v>
      </c>
      <c r="G8" s="2">
        <v>971920</v>
      </c>
      <c r="H8" s="2">
        <v>268208</v>
      </c>
      <c r="I8" s="2">
        <v>3270503</v>
      </c>
      <c r="T8" s="44"/>
    </row>
    <row r="9" spans="1:20" x14ac:dyDescent="0.25">
      <c r="A9" s="43" t="s">
        <v>41</v>
      </c>
      <c r="B9" s="2">
        <v>890</v>
      </c>
      <c r="C9" s="2"/>
      <c r="D9" s="2"/>
      <c r="E9" s="2"/>
      <c r="F9" s="2"/>
      <c r="G9" s="2"/>
      <c r="H9" s="2"/>
      <c r="I9" s="2">
        <v>890</v>
      </c>
      <c r="T9" s="44"/>
    </row>
    <row r="10" spans="1:20" x14ac:dyDescent="0.25">
      <c r="A10" s="43" t="s">
        <v>75</v>
      </c>
      <c r="B10" s="2">
        <v>25697326</v>
      </c>
      <c r="C10" s="2">
        <v>22672907</v>
      </c>
      <c r="D10" s="2">
        <v>16954833</v>
      </c>
      <c r="E10" s="2">
        <v>14225287</v>
      </c>
      <c r="F10" s="2">
        <v>10998366</v>
      </c>
      <c r="G10" s="2">
        <v>9667669</v>
      </c>
      <c r="H10" s="2">
        <v>6734331</v>
      </c>
      <c r="I10" s="2">
        <v>106950719</v>
      </c>
      <c r="T10" s="44"/>
    </row>
    <row r="11" spans="1:20" x14ac:dyDescent="0.25">
      <c r="A11" s="43"/>
      <c r="T11" s="44"/>
    </row>
    <row r="12" spans="1:20" x14ac:dyDescent="0.25">
      <c r="A12" s="45" t="s">
        <v>110</v>
      </c>
      <c r="B12" s="54" t="s">
        <v>27</v>
      </c>
      <c r="T12" s="44"/>
    </row>
    <row r="13" spans="1:20" x14ac:dyDescent="0.25">
      <c r="A13" s="45" t="s">
        <v>65</v>
      </c>
      <c r="B13" t="s">
        <v>16</v>
      </c>
      <c r="C13" t="s">
        <v>20</v>
      </c>
      <c r="D13" t="s">
        <v>75</v>
      </c>
      <c r="T13" s="44"/>
    </row>
    <row r="14" spans="1:20" x14ac:dyDescent="0.25">
      <c r="A14" s="43" t="s">
        <v>68</v>
      </c>
      <c r="B14" s="5">
        <v>4.6986031610776764E-3</v>
      </c>
      <c r="C14" s="5">
        <v>4.4502314674183365E-3</v>
      </c>
      <c r="D14" s="5">
        <v>4.5927752220402173E-3</v>
      </c>
      <c r="T14" s="44"/>
    </row>
    <row r="15" spans="1:20" x14ac:dyDescent="0.25">
      <c r="A15" s="43" t="s">
        <v>67</v>
      </c>
      <c r="B15" s="5">
        <v>3.1809990104964794E-3</v>
      </c>
      <c r="C15" s="5">
        <v>3.4475418406773677E-3</v>
      </c>
      <c r="D15" s="5">
        <v>3.3052713911274371E-3</v>
      </c>
      <c r="T15" s="44"/>
    </row>
    <row r="16" spans="1:20" x14ac:dyDescent="0.25">
      <c r="A16" s="43" t="s">
        <v>75</v>
      </c>
      <c r="B16" s="5">
        <v>3.6127312257480284E-3</v>
      </c>
      <c r="C16" s="5">
        <v>3.7007984989779179E-3</v>
      </c>
      <c r="D16" s="5">
        <v>3.6528369792846434E-3</v>
      </c>
      <c r="T16" s="44"/>
    </row>
    <row r="17" spans="1:20" x14ac:dyDescent="0.25">
      <c r="A17" s="43"/>
      <c r="T17" s="44"/>
    </row>
    <row r="18" spans="1:20" x14ac:dyDescent="0.25">
      <c r="A18" s="45" t="s">
        <v>0</v>
      </c>
      <c r="B18" t="s">
        <v>111</v>
      </c>
      <c r="T18" s="44"/>
    </row>
    <row r="19" spans="1:20" x14ac:dyDescent="0.25">
      <c r="A19" s="43" t="s">
        <v>14</v>
      </c>
      <c r="B19" s="1">
        <v>15580.709999999997</v>
      </c>
      <c r="T19" s="44"/>
    </row>
    <row r="20" spans="1:20" x14ac:dyDescent="0.25">
      <c r="A20" s="43" t="s">
        <v>25</v>
      </c>
      <c r="B20" s="1">
        <v>14692.649999999998</v>
      </c>
      <c r="T20" s="44"/>
    </row>
    <row r="21" spans="1:20" x14ac:dyDescent="0.25">
      <c r="A21" s="43" t="s">
        <v>23</v>
      </c>
      <c r="B21" s="1">
        <v>7397.1499999999978</v>
      </c>
      <c r="T21" s="44"/>
    </row>
    <row r="22" spans="1:20" x14ac:dyDescent="0.25">
      <c r="A22" s="43" t="s">
        <v>35</v>
      </c>
      <c r="B22" s="1">
        <v>6441.1399999999994</v>
      </c>
      <c r="T22" s="44"/>
    </row>
    <row r="23" spans="1:20" x14ac:dyDescent="0.25">
      <c r="A23" s="43" t="s">
        <v>36</v>
      </c>
      <c r="B23" s="1">
        <v>3808.1499999999983</v>
      </c>
      <c r="T23" s="44"/>
    </row>
    <row r="24" spans="1:20" x14ac:dyDescent="0.25">
      <c r="A24" s="43" t="s">
        <v>39</v>
      </c>
      <c r="B24" s="1">
        <v>2601.7000000000016</v>
      </c>
      <c r="T24" s="44"/>
    </row>
    <row r="25" spans="1:20" x14ac:dyDescent="0.25">
      <c r="A25" s="43" t="s">
        <v>37</v>
      </c>
      <c r="B25" s="1">
        <v>2592.0300000000007</v>
      </c>
      <c r="T25" s="44"/>
    </row>
    <row r="26" spans="1:20" x14ac:dyDescent="0.25">
      <c r="A26" s="43" t="s">
        <v>75</v>
      </c>
      <c r="B26" s="1">
        <v>53113.53</v>
      </c>
      <c r="T26" s="44"/>
    </row>
    <row r="27" spans="1:20" ht="15.75" thickBot="1" x14ac:dyDescent="0.3">
      <c r="A27" s="43"/>
      <c r="T27" s="44"/>
    </row>
    <row r="28" spans="1:20" ht="15.75" thickBot="1" x14ac:dyDescent="0.3">
      <c r="A28" s="49" t="s">
        <v>65</v>
      </c>
      <c r="B28" s="53" t="s">
        <v>103</v>
      </c>
      <c r="T28" s="44"/>
    </row>
    <row r="29" spans="1:20" x14ac:dyDescent="0.25">
      <c r="A29" s="50" t="s">
        <v>68</v>
      </c>
      <c r="B29" s="46">
        <v>0.51252285243478257</v>
      </c>
      <c r="T29" s="44"/>
    </row>
    <row r="30" spans="1:20" ht="15.75" thickBot="1" x14ac:dyDescent="0.3">
      <c r="A30" s="51" t="s">
        <v>67</v>
      </c>
      <c r="B30" s="47">
        <v>0.25793624163987139</v>
      </c>
      <c r="T30" s="44"/>
    </row>
    <row r="31" spans="1:20" ht="15.75" thickBot="1" x14ac:dyDescent="0.3">
      <c r="A31" s="52" t="s">
        <v>75</v>
      </c>
      <c r="B31" s="48">
        <v>0.32666267413145539</v>
      </c>
      <c r="T31" s="44"/>
    </row>
    <row r="32" spans="1:20" x14ac:dyDescent="0.25">
      <c r="A32" s="43"/>
      <c r="T32" s="44"/>
    </row>
    <row r="33" spans="1:20" x14ac:dyDescent="0.25">
      <c r="A33" s="93" t="s">
        <v>115</v>
      </c>
      <c r="B33" s="94"/>
      <c r="C33" s="94"/>
      <c r="D33" s="94"/>
      <c r="E33" s="94"/>
      <c r="F33" s="94"/>
      <c r="G33" s="94"/>
      <c r="H33" s="94"/>
      <c r="I33" s="94"/>
      <c r="J33" s="94"/>
      <c r="K33" s="94"/>
      <c r="L33" s="94"/>
      <c r="M33" s="94"/>
      <c r="N33" s="94"/>
      <c r="O33" s="94"/>
      <c r="P33" s="94"/>
      <c r="Q33" s="94"/>
      <c r="R33" s="94"/>
      <c r="S33" s="94"/>
      <c r="T33" s="95"/>
    </row>
    <row r="34" spans="1:20" ht="19.5" customHeight="1" x14ac:dyDescent="0.25">
      <c r="A34" s="93"/>
      <c r="B34" s="94"/>
      <c r="C34" s="94"/>
      <c r="D34" s="94"/>
      <c r="E34" s="94"/>
      <c r="F34" s="94"/>
      <c r="G34" s="94"/>
      <c r="H34" s="94"/>
      <c r="I34" s="94"/>
      <c r="J34" s="94"/>
      <c r="K34" s="94"/>
      <c r="L34" s="94"/>
      <c r="M34" s="94"/>
      <c r="N34" s="94"/>
      <c r="O34" s="94"/>
      <c r="P34" s="94"/>
      <c r="Q34" s="94"/>
      <c r="R34" s="94"/>
      <c r="S34" s="94"/>
      <c r="T34" s="95"/>
    </row>
    <row r="35" spans="1:20" x14ac:dyDescent="0.25">
      <c r="A35" s="43"/>
      <c r="T35" s="44"/>
    </row>
    <row r="36" spans="1:20" x14ac:dyDescent="0.25">
      <c r="A36" s="43"/>
      <c r="T36" s="44"/>
    </row>
    <row r="37" spans="1:20" x14ac:dyDescent="0.25">
      <c r="A37" s="45" t="s">
        <v>110</v>
      </c>
      <c r="B37" s="54" t="s">
        <v>3</v>
      </c>
      <c r="T37" s="44"/>
    </row>
    <row r="38" spans="1:20" x14ac:dyDescent="0.25">
      <c r="A38" s="45" t="s">
        <v>65</v>
      </c>
      <c r="B38" t="s">
        <v>16</v>
      </c>
      <c r="C38" t="s">
        <v>20</v>
      </c>
      <c r="D38" t="s">
        <v>75</v>
      </c>
      <c r="T38" s="44"/>
    </row>
    <row r="39" spans="1:20" x14ac:dyDescent="0.25">
      <c r="A39" s="43" t="s">
        <v>68</v>
      </c>
      <c r="B39" s="5">
        <v>1.3071428571428572E-3</v>
      </c>
      <c r="C39" s="5">
        <v>1.225E-3</v>
      </c>
      <c r="D39" s="5">
        <v>1.2772727272727274E-3</v>
      </c>
      <c r="T39" s="44"/>
    </row>
    <row r="40" spans="1:20" x14ac:dyDescent="0.25">
      <c r="A40" s="43" t="s">
        <v>67</v>
      </c>
      <c r="B40" s="5">
        <v>7.8214285714285701E-4</v>
      </c>
      <c r="C40" s="5">
        <v>8.1818181818181827E-4</v>
      </c>
      <c r="D40" s="5">
        <v>7.9799999999999999E-4</v>
      </c>
      <c r="T40" s="44"/>
    </row>
    <row r="41" spans="1:20" x14ac:dyDescent="0.25">
      <c r="A41" s="43" t="s">
        <v>75</v>
      </c>
      <c r="B41" s="5">
        <v>9.5714285714285747E-4</v>
      </c>
      <c r="C41" s="5">
        <v>9.2666666666666689E-4</v>
      </c>
      <c r="D41" s="5">
        <v>9.4444444444444448E-4</v>
      </c>
      <c r="T41" s="44"/>
    </row>
    <row r="42" spans="1:20" x14ac:dyDescent="0.25">
      <c r="A42" s="43"/>
      <c r="T42" s="44"/>
    </row>
    <row r="43" spans="1:20" x14ac:dyDescent="0.25">
      <c r="A43" s="45" t="s">
        <v>0</v>
      </c>
      <c r="B43" t="s">
        <v>111</v>
      </c>
      <c r="T43" s="44"/>
    </row>
    <row r="44" spans="1:20" x14ac:dyDescent="0.25">
      <c r="A44" s="43" t="s">
        <v>14</v>
      </c>
      <c r="B44" s="1">
        <v>20588.279999999995</v>
      </c>
      <c r="T44" s="44"/>
    </row>
    <row r="45" spans="1:20" x14ac:dyDescent="0.25">
      <c r="A45" s="43" t="s">
        <v>25</v>
      </c>
      <c r="B45" s="1">
        <v>11788.130000000003</v>
      </c>
      <c r="T45" s="44"/>
    </row>
    <row r="46" spans="1:20" x14ac:dyDescent="0.25">
      <c r="A46" s="43" t="s">
        <v>23</v>
      </c>
      <c r="B46" s="1">
        <v>9672.0000000000018</v>
      </c>
      <c r="T46" s="44"/>
    </row>
    <row r="47" spans="1:20" x14ac:dyDescent="0.25">
      <c r="A47" s="43" t="s">
        <v>22</v>
      </c>
      <c r="B47" s="1">
        <v>4955.0300000000016</v>
      </c>
      <c r="T47" s="44"/>
    </row>
    <row r="48" spans="1:20" x14ac:dyDescent="0.25">
      <c r="A48" s="43" t="s">
        <v>19</v>
      </c>
      <c r="B48" s="1">
        <v>3130.51</v>
      </c>
      <c r="T48" s="44"/>
    </row>
    <row r="49" spans="1:20" x14ac:dyDescent="0.25">
      <c r="A49" s="43" t="s">
        <v>21</v>
      </c>
      <c r="B49" s="1">
        <v>1031.32</v>
      </c>
      <c r="T49" s="44"/>
    </row>
    <row r="50" spans="1:20" x14ac:dyDescent="0.25">
      <c r="A50" s="43" t="s">
        <v>24</v>
      </c>
      <c r="B50" s="1">
        <v>1027.3</v>
      </c>
      <c r="T50" s="44"/>
    </row>
    <row r="51" spans="1:20" x14ac:dyDescent="0.25">
      <c r="A51" s="43" t="s">
        <v>75</v>
      </c>
      <c r="B51" s="1">
        <v>52192.570000000007</v>
      </c>
      <c r="T51" s="44"/>
    </row>
    <row r="52" spans="1:20" ht="15.75" thickBot="1" x14ac:dyDescent="0.3">
      <c r="A52" s="43"/>
      <c r="T52" s="44"/>
    </row>
    <row r="53" spans="1:20" ht="15.75" thickBot="1" x14ac:dyDescent="0.3">
      <c r="A53" s="49" t="s">
        <v>65</v>
      </c>
      <c r="B53" s="53" t="s">
        <v>103</v>
      </c>
      <c r="T53" s="44"/>
    </row>
    <row r="54" spans="1:20" x14ac:dyDescent="0.25">
      <c r="A54" s="50" t="s">
        <v>68</v>
      </c>
      <c r="B54" s="55">
        <v>7.0181818181818175E-3</v>
      </c>
      <c r="T54" s="44"/>
    </row>
    <row r="55" spans="1:20" ht="15.75" thickBot="1" x14ac:dyDescent="0.3">
      <c r="A55" s="51" t="s">
        <v>67</v>
      </c>
      <c r="B55" s="56">
        <v>3.144897959183672E-3</v>
      </c>
      <c r="T55" s="44"/>
    </row>
    <row r="56" spans="1:20" ht="15.75" thickBot="1" x14ac:dyDescent="0.3">
      <c r="A56" s="52" t="s">
        <v>75</v>
      </c>
      <c r="B56" s="57">
        <v>4.345070422535212E-3</v>
      </c>
      <c r="T56" s="44"/>
    </row>
    <row r="57" spans="1:20" x14ac:dyDescent="0.25">
      <c r="A57" s="43"/>
      <c r="T57" s="44"/>
    </row>
    <row r="58" spans="1:20" x14ac:dyDescent="0.25">
      <c r="A58" s="43"/>
      <c r="T58" s="44"/>
    </row>
    <row r="59" spans="1:20" x14ac:dyDescent="0.25">
      <c r="A59" s="43"/>
      <c r="T59" s="44"/>
    </row>
    <row r="60" spans="1:20" x14ac:dyDescent="0.25">
      <c r="A60" s="43"/>
      <c r="T60" s="44"/>
    </row>
    <row r="61" spans="1:20" x14ac:dyDescent="0.25">
      <c r="A61" s="43"/>
      <c r="T61" s="44"/>
    </row>
    <row r="62" spans="1:20" x14ac:dyDescent="0.25">
      <c r="A62" s="43"/>
      <c r="T62" s="44"/>
    </row>
    <row r="63" spans="1:20" x14ac:dyDescent="0.25">
      <c r="A63" s="43"/>
      <c r="T63" s="44"/>
    </row>
    <row r="64" spans="1:20" x14ac:dyDescent="0.25">
      <c r="A64" s="43"/>
      <c r="T64" s="44"/>
    </row>
    <row r="65" spans="1:20" x14ac:dyDescent="0.25">
      <c r="A65" s="43"/>
      <c r="T65" s="44"/>
    </row>
    <row r="66" spans="1:20" x14ac:dyDescent="0.25">
      <c r="A66" s="43"/>
      <c r="T66" s="44"/>
    </row>
    <row r="67" spans="1:20" x14ac:dyDescent="0.25">
      <c r="A67" s="93" t="s">
        <v>116</v>
      </c>
      <c r="B67" s="94"/>
      <c r="C67" s="94"/>
      <c r="D67" s="94"/>
      <c r="E67" s="94"/>
      <c r="F67" s="94"/>
      <c r="G67" s="94"/>
      <c r="H67" s="94"/>
      <c r="I67" s="94"/>
      <c r="J67" s="94"/>
      <c r="K67" s="94"/>
      <c r="L67" s="94"/>
      <c r="M67" s="94"/>
      <c r="N67" s="94"/>
      <c r="O67" s="94"/>
      <c r="P67" s="94"/>
      <c r="Q67" s="94"/>
      <c r="R67" s="94"/>
      <c r="S67" s="94"/>
      <c r="T67" s="95"/>
    </row>
    <row r="68" spans="1:20" ht="22.5" customHeight="1" x14ac:dyDescent="0.25">
      <c r="A68" s="93"/>
      <c r="B68" s="94"/>
      <c r="C68" s="94"/>
      <c r="D68" s="94"/>
      <c r="E68" s="94"/>
      <c r="F68" s="94"/>
      <c r="G68" s="94"/>
      <c r="H68" s="94"/>
      <c r="I68" s="94"/>
      <c r="J68" s="94"/>
      <c r="K68" s="94"/>
      <c r="L68" s="94"/>
      <c r="M68" s="94"/>
      <c r="N68" s="94"/>
      <c r="O68" s="94"/>
      <c r="P68" s="94"/>
      <c r="Q68" s="94"/>
      <c r="R68" s="94"/>
      <c r="S68" s="94"/>
      <c r="T68" s="95"/>
    </row>
    <row r="69" spans="1:20" x14ac:dyDescent="0.25">
      <c r="A69" s="43"/>
      <c r="T69" s="44"/>
    </row>
    <row r="70" spans="1:20" x14ac:dyDescent="0.25">
      <c r="A70" s="43"/>
      <c r="T70" s="44"/>
    </row>
    <row r="71" spans="1:20" x14ac:dyDescent="0.25">
      <c r="A71" s="45" t="s">
        <v>65</v>
      </c>
      <c r="B71" t="s">
        <v>76</v>
      </c>
      <c r="T71" s="44"/>
    </row>
    <row r="72" spans="1:20" x14ac:dyDescent="0.25">
      <c r="A72" s="43" t="s">
        <v>67</v>
      </c>
      <c r="B72" s="2">
        <v>46829</v>
      </c>
      <c r="T72" s="44"/>
    </row>
    <row r="73" spans="1:20" x14ac:dyDescent="0.25">
      <c r="A73" s="43" t="s">
        <v>68</v>
      </c>
      <c r="B73" s="2">
        <v>7965</v>
      </c>
      <c r="T73" s="44"/>
    </row>
    <row r="74" spans="1:20" x14ac:dyDescent="0.25">
      <c r="A74" s="43" t="s">
        <v>75</v>
      </c>
      <c r="B74" s="2">
        <v>54794</v>
      </c>
      <c r="T74" s="44"/>
    </row>
    <row r="75" spans="1:20" x14ac:dyDescent="0.25">
      <c r="A75" s="43"/>
      <c r="T75" s="44"/>
    </row>
    <row r="76" spans="1:20" x14ac:dyDescent="0.25">
      <c r="A76" s="45" t="s">
        <v>65</v>
      </c>
      <c r="B76" t="s">
        <v>117</v>
      </c>
      <c r="T76" s="44"/>
    </row>
    <row r="77" spans="1:20" x14ac:dyDescent="0.25">
      <c r="A77" s="43" t="s">
        <v>67</v>
      </c>
      <c r="B77" s="2">
        <v>49309</v>
      </c>
      <c r="T77" s="44"/>
    </row>
    <row r="78" spans="1:20" x14ac:dyDescent="0.25">
      <c r="A78" s="43" t="s">
        <v>68</v>
      </c>
      <c r="B78" s="2">
        <v>6750</v>
      </c>
      <c r="T78" s="44"/>
    </row>
    <row r="79" spans="1:20" x14ac:dyDescent="0.25">
      <c r="A79" s="43" t="s">
        <v>75</v>
      </c>
      <c r="B79" s="2">
        <v>56059</v>
      </c>
      <c r="T79" s="44"/>
    </row>
    <row r="80" spans="1:20" ht="15.75" thickBot="1" x14ac:dyDescent="0.3">
      <c r="A80" s="43"/>
      <c r="T80" s="44"/>
    </row>
    <row r="81" spans="1:20" ht="15.75" thickBot="1" x14ac:dyDescent="0.3">
      <c r="A81" s="49" t="s">
        <v>65</v>
      </c>
      <c r="B81" s="53" t="s">
        <v>103</v>
      </c>
      <c r="T81" s="44"/>
    </row>
    <row r="82" spans="1:20" x14ac:dyDescent="0.25">
      <c r="A82" s="50" t="s">
        <v>68</v>
      </c>
      <c r="B82" s="55">
        <v>6.9876536135048779E-3</v>
      </c>
      <c r="T82" s="44"/>
    </row>
    <row r="83" spans="1:20" ht="15.75" thickBot="1" x14ac:dyDescent="0.3">
      <c r="A83" s="51" t="s">
        <v>67</v>
      </c>
      <c r="B83" s="56">
        <v>5.047043787345524E-3</v>
      </c>
      <c r="T83" s="44"/>
    </row>
    <row r="84" spans="1:20" ht="15.75" thickBot="1" x14ac:dyDescent="0.3">
      <c r="A84" s="52" t="s">
        <v>75</v>
      </c>
      <c r="B84" s="57">
        <v>5.6328882631672163E-3</v>
      </c>
      <c r="T84" s="44"/>
    </row>
    <row r="85" spans="1:20" x14ac:dyDescent="0.25">
      <c r="A85" s="43"/>
      <c r="T85" s="44"/>
    </row>
    <row r="86" spans="1:20" x14ac:dyDescent="0.25">
      <c r="A86" s="43"/>
      <c r="T86" s="44"/>
    </row>
    <row r="87" spans="1:20" x14ac:dyDescent="0.25">
      <c r="A87" s="43"/>
      <c r="T87" s="44"/>
    </row>
    <row r="88" spans="1:20" x14ac:dyDescent="0.25">
      <c r="A88" s="43"/>
      <c r="T88" s="44"/>
    </row>
    <row r="89" spans="1:20" x14ac:dyDescent="0.25">
      <c r="A89" s="43"/>
      <c r="T89" s="44"/>
    </row>
    <row r="90" spans="1:20" x14ac:dyDescent="0.25">
      <c r="A90" s="43"/>
      <c r="T90" s="44"/>
    </row>
    <row r="91" spans="1:20" x14ac:dyDescent="0.25">
      <c r="A91" s="43"/>
      <c r="T91" s="44"/>
    </row>
    <row r="92" spans="1:20" x14ac:dyDescent="0.25">
      <c r="A92" s="43"/>
      <c r="T92" s="44"/>
    </row>
    <row r="93" spans="1:20" x14ac:dyDescent="0.25">
      <c r="A93" s="43"/>
      <c r="T93" s="44"/>
    </row>
    <row r="94" spans="1:20" x14ac:dyDescent="0.25">
      <c r="A94" s="43"/>
      <c r="T94" s="44"/>
    </row>
    <row r="95" spans="1:20" x14ac:dyDescent="0.25">
      <c r="A95" s="43"/>
      <c r="T95" s="44"/>
    </row>
    <row r="96" spans="1:20" x14ac:dyDescent="0.25">
      <c r="A96" s="43"/>
      <c r="T96" s="44"/>
    </row>
    <row r="97" spans="1:20" x14ac:dyDescent="0.25">
      <c r="A97" s="43"/>
      <c r="T97" s="44"/>
    </row>
    <row r="98" spans="1:20" ht="15.75" thickBot="1" x14ac:dyDescent="0.3">
      <c r="A98" s="74"/>
      <c r="B98" s="75"/>
      <c r="C98" s="75"/>
      <c r="D98" s="75"/>
      <c r="E98" s="75"/>
      <c r="F98" s="75"/>
      <c r="G98" s="75"/>
      <c r="H98" s="75"/>
      <c r="I98" s="75"/>
      <c r="J98" s="75"/>
      <c r="K98" s="75"/>
      <c r="L98" s="75"/>
      <c r="M98" s="75"/>
      <c r="N98" s="75"/>
      <c r="O98" s="75"/>
      <c r="P98" s="75"/>
      <c r="Q98" s="75"/>
      <c r="R98" s="75"/>
      <c r="S98" s="75"/>
      <c r="T98" s="76"/>
    </row>
  </sheetData>
  <mergeCells count="4">
    <mergeCell ref="A1:T1"/>
    <mergeCell ref="A2:T3"/>
    <mergeCell ref="A33:T34"/>
    <mergeCell ref="A67:T68"/>
  </mergeCells>
  <pageMargins left="0.7" right="0.7" top="0.75" bottom="0.75" header="0.3" footer="0.3"/>
  <drawing r:id="rId1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Meta - Data</vt:lpstr>
      <vt:lpstr>Tiktok - Data</vt:lpstr>
      <vt:lpstr>Snapchat - Data</vt:lpstr>
      <vt:lpstr>Summary Sheet</vt:lpstr>
      <vt:lpstr>Answers</vt:lpstr>
      <vt:lpstr>Extras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Fatimah Chaudary</dc:creator>
  <cp:lastModifiedBy>Flower Joshua</cp:lastModifiedBy>
  <dcterms:created xsi:type="dcterms:W3CDTF">2024-09-12T19:49:12Z</dcterms:created>
  <dcterms:modified xsi:type="dcterms:W3CDTF">2024-10-07T03:50:46Z</dcterms:modified>
</cp:coreProperties>
</file>